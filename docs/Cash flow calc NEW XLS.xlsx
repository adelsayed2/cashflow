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7ac\AC\Temp\"/>
    </mc:Choice>
  </mc:AlternateContent>
  <xr:revisionPtr revIDLastSave="0" documentId="8_{DA35035B-46F5-D74F-8D7D-D45EFAE80266}" xr6:coauthVersionLast="47" xr6:coauthVersionMax="47" xr10:uidLastSave="{00000000-0000-0000-0000-000000000000}"/>
  <bookViews>
    <workbookView xWindow="-60" yWindow="-60" windowWidth="15480" windowHeight="11640" xr2:uid="{2578527A-27D9-4FA5-9DC4-9C0EFDED4C91}"/>
  </bookViews>
  <sheets>
    <sheet name="Cash flow" sheetId="1" r:id="rId1"/>
    <sheet name="Coefficients" sheetId="2" r:id="rId2"/>
    <sheet name="GRAPH OF CAPTAL SCHEDULING" sheetId="3" state="hidden" r:id="rId3"/>
    <sheet name="CHART OF REAL vs ACTUAL DATA" sheetId="4" r:id="rId4"/>
    <sheet name="REAL DATA vs ACTUAL DATA" sheetId="5" r:id="rId5"/>
    <sheet name="Sheet1" sheetId="6" r:id="rId6"/>
  </sheets>
  <externalReferences>
    <externalReference r:id="rId7"/>
  </externalReferences>
  <definedNames>
    <definedName name="_xlnm.Print_Area" localSheetId="0">'Cash flow'!$B$19:$G$145</definedName>
    <definedName name="_xlnm.Print_Titles" localSheetId="0">'Cash flow'!$19:$19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C5" i="1"/>
  <c r="B21" i="1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D8" i="1"/>
  <c r="E8" i="1"/>
  <c r="E10" i="1"/>
  <c r="C10" i="1"/>
  <c r="D10" i="1"/>
  <c r="C11" i="1"/>
  <c r="D11" i="1"/>
  <c r="A20" i="1"/>
  <c r="F8" i="1"/>
  <c r="E11" i="1"/>
  <c r="F10" i="1"/>
  <c r="F11" i="1"/>
  <c r="G8" i="1"/>
  <c r="H8" i="1"/>
  <c r="G10" i="1"/>
  <c r="G11" i="1"/>
  <c r="H10" i="1"/>
  <c r="H11" i="1"/>
  <c r="I8" i="1"/>
  <c r="J8" i="1"/>
  <c r="I10" i="1"/>
  <c r="I11" i="1"/>
  <c r="J10" i="1"/>
  <c r="J11" i="1"/>
  <c r="K8" i="1"/>
  <c r="L8" i="1"/>
  <c r="K10" i="1"/>
  <c r="K11" i="1"/>
  <c r="L11" i="1"/>
  <c r="M8" i="1"/>
  <c r="L10" i="1"/>
  <c r="N8" i="1"/>
  <c r="M10" i="1"/>
  <c r="M11" i="1"/>
  <c r="N11" i="1"/>
  <c r="N10" i="1"/>
  <c r="O8" i="1"/>
  <c r="O10" i="1"/>
  <c r="P8" i="1"/>
  <c r="O11" i="1"/>
  <c r="P10" i="1"/>
  <c r="P11" i="1"/>
  <c r="Q8" i="1"/>
  <c r="Q11" i="1"/>
  <c r="R8" i="1"/>
  <c r="Q10" i="1"/>
  <c r="R10" i="1"/>
  <c r="R11" i="1"/>
  <c r="S8" i="1"/>
  <c r="S11" i="1"/>
  <c r="T8" i="1"/>
  <c r="S10" i="1"/>
  <c r="U8" i="1"/>
  <c r="T10" i="1"/>
  <c r="T11" i="1"/>
  <c r="V8" i="1"/>
  <c r="U10" i="1"/>
  <c r="U11" i="1"/>
  <c r="W8" i="1"/>
  <c r="V10" i="1"/>
  <c r="V11" i="1"/>
  <c r="X8" i="1"/>
  <c r="W10" i="1"/>
  <c r="W11" i="1"/>
  <c r="X10" i="1"/>
  <c r="X11" i="1"/>
  <c r="Y8" i="1"/>
  <c r="Z8" i="1"/>
  <c r="Y10" i="1"/>
  <c r="Y11" i="1"/>
  <c r="Z10" i="1"/>
  <c r="Z11" i="1"/>
  <c r="AA8" i="1"/>
  <c r="AB8" i="1"/>
  <c r="AA10" i="1"/>
  <c r="AA11" i="1"/>
  <c r="AB11" i="1"/>
  <c r="AC8" i="1"/>
  <c r="AB10" i="1"/>
  <c r="AD8" i="1"/>
  <c r="AC10" i="1"/>
  <c r="AC11" i="1"/>
  <c r="AD11" i="1"/>
  <c r="AD10" i="1"/>
  <c r="AE8" i="1"/>
  <c r="AE10" i="1"/>
  <c r="AF8" i="1"/>
  <c r="AE11" i="1"/>
  <c r="AF10" i="1"/>
  <c r="AF11" i="1"/>
  <c r="C20" i="1"/>
  <c r="D20" i="1"/>
  <c r="Q12" i="1"/>
  <c r="Q14" i="1"/>
  <c r="V12" i="1"/>
  <c r="V14" i="1"/>
  <c r="J12" i="1"/>
  <c r="J14" i="1"/>
  <c r="L12" i="1"/>
  <c r="T12" i="1"/>
  <c r="B22" i="1"/>
  <c r="A21" i="1"/>
  <c r="S12" i="1"/>
  <c r="S14" i="1"/>
  <c r="W12" i="1"/>
  <c r="W14" i="1"/>
  <c r="E20" i="1"/>
  <c r="F20" i="1"/>
  <c r="G20" i="1"/>
  <c r="A22" i="1"/>
  <c r="K12" i="1"/>
  <c r="D12" i="1"/>
  <c r="D14" i="1"/>
  <c r="C12" i="1"/>
  <c r="C14" i="1"/>
  <c r="C21" i="1"/>
  <c r="D21" i="1"/>
  <c r="G12" i="1"/>
  <c r="G14" i="1"/>
  <c r="R12" i="1"/>
  <c r="R14" i="1"/>
  <c r="O12" i="1"/>
  <c r="O14" i="1"/>
  <c r="M12" i="1"/>
  <c r="M14" i="1"/>
  <c r="U12" i="1"/>
  <c r="N12" i="1"/>
  <c r="N14" i="1"/>
  <c r="X12" i="1"/>
  <c r="X14" i="1"/>
  <c r="I12" i="1"/>
  <c r="I14" i="1"/>
  <c r="E12" i="1"/>
  <c r="E14" i="1"/>
  <c r="F12" i="1"/>
  <c r="F14" i="1"/>
  <c r="H12" i="1"/>
  <c r="P12" i="1"/>
  <c r="P14" i="1"/>
  <c r="B23" i="1"/>
  <c r="C22" i="1"/>
  <c r="D22" i="1"/>
  <c r="E22" i="1"/>
  <c r="F22" i="1"/>
  <c r="E21" i="1"/>
  <c r="F21" i="1"/>
  <c r="G21" i="1"/>
  <c r="C23" i="1"/>
  <c r="D23" i="1"/>
  <c r="B24" i="1"/>
  <c r="G22" i="1"/>
  <c r="A23" i="1"/>
  <c r="A24" i="1"/>
  <c r="C24" i="1"/>
  <c r="D24" i="1"/>
  <c r="E24" i="1"/>
  <c r="F24" i="1"/>
  <c r="B25" i="1"/>
  <c r="E23" i="1"/>
  <c r="F23" i="1"/>
  <c r="G23" i="1"/>
  <c r="Y12" i="1"/>
  <c r="Y14" i="1"/>
  <c r="C25" i="1"/>
  <c r="D25" i="1"/>
  <c r="E25" i="1"/>
  <c r="F25" i="1"/>
  <c r="B26" i="1"/>
  <c r="G24" i="1"/>
  <c r="A25" i="1"/>
  <c r="A26" i="1"/>
  <c r="C26" i="1"/>
  <c r="D26" i="1"/>
  <c r="E26" i="1"/>
  <c r="F26" i="1"/>
  <c r="B27" i="1"/>
  <c r="G25" i="1"/>
  <c r="G26" i="1"/>
  <c r="C27" i="1"/>
  <c r="D27" i="1"/>
  <c r="E27" i="1"/>
  <c r="F27" i="1"/>
  <c r="G27" i="1"/>
  <c r="B28" i="1"/>
  <c r="A27" i="1"/>
  <c r="A28" i="1"/>
  <c r="C28" i="1"/>
  <c r="D28" i="1"/>
  <c r="E28" i="1"/>
  <c r="F28" i="1"/>
  <c r="G28" i="1"/>
  <c r="B29" i="1"/>
  <c r="B30" i="1"/>
  <c r="C29" i="1"/>
  <c r="D29" i="1"/>
  <c r="E29" i="1"/>
  <c r="F29" i="1"/>
  <c r="G29" i="1"/>
  <c r="A29" i="1"/>
  <c r="A30" i="1"/>
  <c r="C30" i="1"/>
  <c r="D30" i="1"/>
  <c r="E30" i="1"/>
  <c r="F30" i="1"/>
  <c r="G30" i="1"/>
  <c r="B31" i="1"/>
  <c r="C31" i="1"/>
  <c r="D31" i="1"/>
  <c r="E31" i="1"/>
  <c r="F31" i="1"/>
  <c r="G31" i="1"/>
  <c r="B32" i="1"/>
  <c r="A31" i="1"/>
  <c r="A32" i="1"/>
  <c r="C32" i="1"/>
  <c r="D32" i="1"/>
  <c r="E32" i="1"/>
  <c r="F32" i="1"/>
  <c r="G32" i="1"/>
  <c r="B33" i="1"/>
  <c r="C33" i="1"/>
  <c r="D33" i="1"/>
  <c r="E33" i="1"/>
  <c r="F33" i="1"/>
  <c r="G33" i="1"/>
  <c r="B34" i="1"/>
  <c r="A33" i="1"/>
  <c r="A34" i="1"/>
  <c r="B35" i="1"/>
  <c r="C34" i="1"/>
  <c r="D34" i="1"/>
  <c r="E34" i="1"/>
  <c r="F34" i="1"/>
  <c r="G34" i="1"/>
  <c r="B36" i="1"/>
  <c r="C35" i="1"/>
  <c r="D35" i="1"/>
  <c r="A35" i="1"/>
  <c r="A36" i="1"/>
  <c r="Z12" i="1"/>
  <c r="Z14" i="1"/>
  <c r="E35" i="1"/>
  <c r="F35" i="1"/>
  <c r="G35" i="1"/>
  <c r="B37" i="1"/>
  <c r="C36" i="1"/>
  <c r="D36" i="1"/>
  <c r="E36" i="1"/>
  <c r="F36" i="1"/>
  <c r="G36" i="1"/>
  <c r="B38" i="1"/>
  <c r="C37" i="1"/>
  <c r="D37" i="1"/>
  <c r="E37" i="1"/>
  <c r="F37" i="1"/>
  <c r="G37" i="1"/>
  <c r="A37" i="1"/>
  <c r="A38" i="1"/>
  <c r="B39" i="1"/>
  <c r="C38" i="1"/>
  <c r="D38" i="1"/>
  <c r="E38" i="1"/>
  <c r="F38" i="1"/>
  <c r="G38" i="1"/>
  <c r="C39" i="1"/>
  <c r="D39" i="1"/>
  <c r="E39" i="1"/>
  <c r="F39" i="1"/>
  <c r="G39" i="1"/>
  <c r="B40" i="1"/>
  <c r="A39" i="1"/>
  <c r="A40" i="1"/>
  <c r="B41" i="1"/>
  <c r="A41" i="1"/>
  <c r="C40" i="1"/>
  <c r="D40" i="1"/>
  <c r="E40" i="1"/>
  <c r="F40" i="1"/>
  <c r="G40" i="1"/>
  <c r="C41" i="1"/>
  <c r="D41" i="1"/>
  <c r="E41" i="1"/>
  <c r="F41" i="1"/>
  <c r="G41" i="1"/>
  <c r="B42" i="1"/>
  <c r="A42" i="1"/>
  <c r="B43" i="1"/>
  <c r="C42" i="1"/>
  <c r="D42" i="1"/>
  <c r="E42" i="1"/>
  <c r="F42" i="1"/>
  <c r="G42" i="1"/>
  <c r="B44" i="1"/>
  <c r="C43" i="1"/>
  <c r="D43" i="1"/>
  <c r="E43" i="1"/>
  <c r="F43" i="1"/>
  <c r="G43" i="1"/>
  <c r="A43" i="1"/>
  <c r="A44" i="1"/>
  <c r="B45" i="1"/>
  <c r="C44" i="1"/>
  <c r="D44" i="1"/>
  <c r="E44" i="1"/>
  <c r="F44" i="1"/>
  <c r="G44" i="1"/>
  <c r="C45" i="1"/>
  <c r="D45" i="1"/>
  <c r="E45" i="1"/>
  <c r="F45" i="1"/>
  <c r="G45" i="1"/>
  <c r="B46" i="1"/>
  <c r="A45" i="1"/>
  <c r="A46" i="1"/>
  <c r="C46" i="1"/>
  <c r="D46" i="1"/>
  <c r="E46" i="1"/>
  <c r="F46" i="1"/>
  <c r="G46" i="1"/>
  <c r="B47" i="1"/>
  <c r="B48" i="1"/>
  <c r="C47" i="1"/>
  <c r="D47" i="1"/>
  <c r="A47" i="1"/>
  <c r="A48" i="1"/>
  <c r="E47" i="1"/>
  <c r="F47" i="1"/>
  <c r="G47" i="1"/>
  <c r="AA12" i="1"/>
  <c r="AA14" i="1"/>
  <c r="B49" i="1"/>
  <c r="C48" i="1"/>
  <c r="D48" i="1"/>
  <c r="E48" i="1"/>
  <c r="F48" i="1"/>
  <c r="G48" i="1"/>
  <c r="B50" i="1"/>
  <c r="C49" i="1"/>
  <c r="D49" i="1"/>
  <c r="E49" i="1"/>
  <c r="F49" i="1"/>
  <c r="G49" i="1"/>
  <c r="A49" i="1"/>
  <c r="A50" i="1"/>
  <c r="B51" i="1"/>
  <c r="C50" i="1"/>
  <c r="D50" i="1"/>
  <c r="E50" i="1"/>
  <c r="F50" i="1"/>
  <c r="G50" i="1"/>
  <c r="A51" i="1"/>
  <c r="B52" i="1"/>
  <c r="C51" i="1"/>
  <c r="D51" i="1"/>
  <c r="E51" i="1"/>
  <c r="F51" i="1"/>
  <c r="G51" i="1"/>
  <c r="C52" i="1"/>
  <c r="D52" i="1"/>
  <c r="E52" i="1"/>
  <c r="F52" i="1"/>
  <c r="G52" i="1"/>
  <c r="B53" i="1"/>
  <c r="A52" i="1"/>
  <c r="A53" i="1"/>
  <c r="B54" i="1"/>
  <c r="C53" i="1"/>
  <c r="D53" i="1"/>
  <c r="E53" i="1"/>
  <c r="F53" i="1"/>
  <c r="G53" i="1"/>
  <c r="C54" i="1"/>
  <c r="D54" i="1"/>
  <c r="E54" i="1"/>
  <c r="F54" i="1"/>
  <c r="G54" i="1"/>
  <c r="B55" i="1"/>
  <c r="A54" i="1"/>
  <c r="A55" i="1"/>
  <c r="B56" i="1"/>
  <c r="C55" i="1"/>
  <c r="D55" i="1"/>
  <c r="E55" i="1"/>
  <c r="F55" i="1"/>
  <c r="G55" i="1"/>
  <c r="B57" i="1"/>
  <c r="C56" i="1"/>
  <c r="D56" i="1"/>
  <c r="E56" i="1"/>
  <c r="F56" i="1"/>
  <c r="G56" i="1"/>
  <c r="A56" i="1"/>
  <c r="A57" i="1"/>
  <c r="B58" i="1"/>
  <c r="C57" i="1"/>
  <c r="D57" i="1"/>
  <c r="E57" i="1"/>
  <c r="F57" i="1"/>
  <c r="G57" i="1"/>
  <c r="C58" i="1"/>
  <c r="D58" i="1"/>
  <c r="E58" i="1"/>
  <c r="F58" i="1"/>
  <c r="G58" i="1"/>
  <c r="B59" i="1"/>
  <c r="A58" i="1"/>
  <c r="A59" i="1"/>
  <c r="C59" i="1"/>
  <c r="D59" i="1"/>
  <c r="B60" i="1"/>
  <c r="B61" i="1"/>
  <c r="C60" i="1"/>
  <c r="D60" i="1"/>
  <c r="E60" i="1"/>
  <c r="F60" i="1"/>
  <c r="AB12" i="1"/>
  <c r="AB14" i="1"/>
  <c r="E59" i="1"/>
  <c r="F59" i="1"/>
  <c r="G59" i="1"/>
  <c r="A60" i="1"/>
  <c r="A61" i="1"/>
  <c r="G60" i="1"/>
  <c r="C61" i="1"/>
  <c r="D61" i="1"/>
  <c r="E61" i="1"/>
  <c r="F61" i="1"/>
  <c r="G61" i="1"/>
  <c r="B62" i="1"/>
  <c r="C62" i="1"/>
  <c r="D62" i="1"/>
  <c r="E62" i="1"/>
  <c r="F62" i="1"/>
  <c r="G62" i="1"/>
  <c r="B63" i="1"/>
  <c r="A62" i="1"/>
  <c r="A63" i="1"/>
  <c r="C63" i="1"/>
  <c r="D63" i="1"/>
  <c r="E63" i="1"/>
  <c r="F63" i="1"/>
  <c r="G63" i="1"/>
  <c r="B64" i="1"/>
  <c r="B65" i="1"/>
  <c r="C64" i="1"/>
  <c r="D64" i="1"/>
  <c r="E64" i="1"/>
  <c r="F64" i="1"/>
  <c r="G64" i="1"/>
  <c r="A64" i="1"/>
  <c r="A65" i="1"/>
  <c r="B66" i="1"/>
  <c r="C65" i="1"/>
  <c r="D65" i="1"/>
  <c r="E65" i="1"/>
  <c r="F65" i="1"/>
  <c r="G65" i="1"/>
  <c r="B67" i="1"/>
  <c r="C66" i="1"/>
  <c r="D66" i="1"/>
  <c r="A66" i="1"/>
  <c r="A67" i="1"/>
  <c r="E66" i="1"/>
  <c r="F66" i="1"/>
  <c r="G66" i="1"/>
  <c r="B68" i="1"/>
  <c r="C67" i="1"/>
  <c r="D67" i="1"/>
  <c r="E67" i="1"/>
  <c r="F67" i="1"/>
  <c r="G67" i="1"/>
  <c r="B69" i="1"/>
  <c r="C68" i="1"/>
  <c r="D68" i="1"/>
  <c r="A68" i="1"/>
  <c r="A69" i="1"/>
  <c r="E68" i="1"/>
  <c r="F68" i="1"/>
  <c r="G68" i="1"/>
  <c r="B70" i="1"/>
  <c r="A70" i="1"/>
  <c r="C69" i="1"/>
  <c r="D69" i="1"/>
  <c r="E69" i="1"/>
  <c r="F69" i="1"/>
  <c r="G69" i="1"/>
  <c r="B71" i="1"/>
  <c r="C70" i="1"/>
  <c r="D70" i="1"/>
  <c r="E70" i="1"/>
  <c r="F70" i="1"/>
  <c r="G70" i="1"/>
  <c r="B72" i="1"/>
  <c r="C71" i="1"/>
  <c r="D71" i="1"/>
  <c r="A71" i="1"/>
  <c r="A72" i="1"/>
  <c r="E71" i="1"/>
  <c r="F71" i="1"/>
  <c r="G71" i="1"/>
  <c r="AC12" i="1"/>
  <c r="C72" i="1"/>
  <c r="D72" i="1"/>
  <c r="B73" i="1"/>
  <c r="A73" i="1"/>
  <c r="E72" i="1"/>
  <c r="F72" i="1"/>
  <c r="G72" i="1"/>
  <c r="C73" i="1"/>
  <c r="D73" i="1"/>
  <c r="B74" i="1"/>
  <c r="C74" i="1"/>
  <c r="D74" i="1"/>
  <c r="B75" i="1"/>
  <c r="E73" i="1"/>
  <c r="F73" i="1"/>
  <c r="G73" i="1"/>
  <c r="G74" i="1"/>
  <c r="A74" i="1"/>
  <c r="A75" i="1"/>
  <c r="B76" i="1"/>
  <c r="C75" i="1"/>
  <c r="D75" i="1"/>
  <c r="G75" i="1"/>
  <c r="E74" i="1"/>
  <c r="F74" i="1"/>
  <c r="G76" i="1"/>
  <c r="E75" i="1"/>
  <c r="F75" i="1"/>
  <c r="C76" i="1"/>
  <c r="D76" i="1"/>
  <c r="B77" i="1"/>
  <c r="A76" i="1"/>
  <c r="C77" i="1"/>
  <c r="D77" i="1"/>
  <c r="B78" i="1"/>
  <c r="A77" i="1"/>
  <c r="E76" i="1"/>
  <c r="F76" i="1"/>
  <c r="G77" i="1"/>
  <c r="A78" i="1"/>
  <c r="B79" i="1"/>
  <c r="C78" i="1"/>
  <c r="D78" i="1"/>
  <c r="E77" i="1"/>
  <c r="F77" i="1"/>
  <c r="G78" i="1"/>
  <c r="B80" i="1"/>
  <c r="C79" i="1"/>
  <c r="D79" i="1"/>
  <c r="E78" i="1"/>
  <c r="F78" i="1"/>
  <c r="G79" i="1"/>
  <c r="A79" i="1"/>
  <c r="A80" i="1"/>
  <c r="E79" i="1"/>
  <c r="F79" i="1"/>
  <c r="G80" i="1"/>
  <c r="B81" i="1"/>
  <c r="C80" i="1"/>
  <c r="D80" i="1"/>
  <c r="E80" i="1"/>
  <c r="F80" i="1"/>
  <c r="G81" i="1"/>
  <c r="C81" i="1"/>
  <c r="D81" i="1"/>
  <c r="B82" i="1"/>
  <c r="A81" i="1"/>
  <c r="A82" i="1"/>
  <c r="G82" i="1"/>
  <c r="E81" i="1"/>
  <c r="F81" i="1"/>
  <c r="B83" i="1"/>
  <c r="C82" i="1"/>
  <c r="D82" i="1"/>
  <c r="G83" i="1"/>
  <c r="E82" i="1"/>
  <c r="F82" i="1"/>
  <c r="B84" i="1"/>
  <c r="C83" i="1"/>
  <c r="D83" i="1"/>
  <c r="A83" i="1"/>
  <c r="A84" i="1"/>
  <c r="G84" i="1"/>
  <c r="AD12" i="1"/>
  <c r="E83" i="1"/>
  <c r="F83" i="1"/>
  <c r="C84" i="1"/>
  <c r="D84" i="1"/>
  <c r="B85" i="1"/>
  <c r="B86" i="1"/>
  <c r="C85" i="1"/>
  <c r="D85" i="1"/>
  <c r="G85" i="1"/>
  <c r="E84" i="1"/>
  <c r="F84" i="1"/>
  <c r="A85" i="1"/>
  <c r="A86" i="1"/>
  <c r="E85" i="1"/>
  <c r="F85" i="1"/>
  <c r="G86" i="1"/>
  <c r="C86" i="1"/>
  <c r="D86" i="1"/>
  <c r="B87" i="1"/>
  <c r="C87" i="1"/>
  <c r="D87" i="1"/>
  <c r="B88" i="1"/>
  <c r="A87" i="1"/>
  <c r="A88" i="1"/>
  <c r="E86" i="1"/>
  <c r="F86" i="1"/>
  <c r="G87" i="1"/>
  <c r="B89" i="1"/>
  <c r="C88" i="1"/>
  <c r="D88" i="1"/>
  <c r="A89" i="1"/>
  <c r="E87" i="1"/>
  <c r="F87" i="1"/>
  <c r="G88" i="1"/>
  <c r="G89" i="1"/>
  <c r="E88" i="1"/>
  <c r="F88" i="1"/>
  <c r="C89" i="1"/>
  <c r="D89" i="1"/>
  <c r="B90" i="1"/>
  <c r="B91" i="1"/>
  <c r="C90" i="1"/>
  <c r="D90" i="1"/>
  <c r="G90" i="1"/>
  <c r="E89" i="1"/>
  <c r="F89" i="1"/>
  <c r="A90" i="1"/>
  <c r="A91" i="1"/>
  <c r="G91" i="1"/>
  <c r="E90" i="1"/>
  <c r="F90" i="1"/>
  <c r="C91" i="1"/>
  <c r="D91" i="1"/>
  <c r="B92" i="1"/>
  <c r="E91" i="1"/>
  <c r="F91" i="1"/>
  <c r="G92" i="1"/>
  <c r="C92" i="1"/>
  <c r="D92" i="1"/>
  <c r="B93" i="1"/>
  <c r="A92" i="1"/>
  <c r="A93" i="1"/>
  <c r="B94" i="1"/>
  <c r="C93" i="1"/>
  <c r="D93" i="1"/>
  <c r="G93" i="1"/>
  <c r="E92" i="1"/>
  <c r="F92" i="1"/>
  <c r="E93" i="1"/>
  <c r="F93" i="1"/>
  <c r="G94" i="1"/>
  <c r="C94" i="1"/>
  <c r="D94" i="1"/>
  <c r="B95" i="1"/>
  <c r="A94" i="1"/>
  <c r="A95" i="1"/>
  <c r="B96" i="1"/>
  <c r="C95" i="1"/>
  <c r="D95" i="1"/>
  <c r="G95" i="1"/>
  <c r="E94" i="1"/>
  <c r="F94" i="1"/>
  <c r="AE12" i="1"/>
  <c r="AE14" i="1"/>
  <c r="E95" i="1"/>
  <c r="F95" i="1"/>
  <c r="G96" i="1"/>
  <c r="C96" i="1"/>
  <c r="D96" i="1"/>
  <c r="B97" i="1"/>
  <c r="A96" i="1"/>
  <c r="A97" i="1"/>
  <c r="B98" i="1"/>
  <c r="C97" i="1"/>
  <c r="D97" i="1"/>
  <c r="E96" i="1"/>
  <c r="F96" i="1"/>
  <c r="G97" i="1"/>
  <c r="C98" i="1"/>
  <c r="D98" i="1"/>
  <c r="B99" i="1"/>
  <c r="G98" i="1"/>
  <c r="E97" i="1"/>
  <c r="F97" i="1"/>
  <c r="A98" i="1"/>
  <c r="A99" i="1"/>
  <c r="B100" i="1"/>
  <c r="C99" i="1"/>
  <c r="D99" i="1"/>
  <c r="E98" i="1"/>
  <c r="F98" i="1"/>
  <c r="G99" i="1"/>
  <c r="E99" i="1"/>
  <c r="F99" i="1"/>
  <c r="G100" i="1"/>
  <c r="C100" i="1"/>
  <c r="D100" i="1"/>
  <c r="B101" i="1"/>
  <c r="A100" i="1"/>
  <c r="A101" i="1"/>
  <c r="B102" i="1"/>
  <c r="C101" i="1"/>
  <c r="D101" i="1"/>
  <c r="G101" i="1"/>
  <c r="E100" i="1"/>
  <c r="F100" i="1"/>
  <c r="E101" i="1"/>
  <c r="F101" i="1"/>
  <c r="G102" i="1"/>
  <c r="B103" i="1"/>
  <c r="C102" i="1"/>
  <c r="D102" i="1"/>
  <c r="A102" i="1"/>
  <c r="A103" i="1"/>
  <c r="E102" i="1"/>
  <c r="F102" i="1"/>
  <c r="G103" i="1"/>
  <c r="B104" i="1"/>
  <c r="C103" i="1"/>
  <c r="D103" i="1"/>
  <c r="E103" i="1"/>
  <c r="F103" i="1"/>
  <c r="G104" i="1"/>
  <c r="C104" i="1"/>
  <c r="D104" i="1"/>
  <c r="B105" i="1"/>
  <c r="A104" i="1"/>
  <c r="A105" i="1"/>
  <c r="C105" i="1"/>
  <c r="D105" i="1"/>
  <c r="B106" i="1"/>
  <c r="G105" i="1"/>
  <c r="E104" i="1"/>
  <c r="F104" i="1"/>
  <c r="B107" i="1"/>
  <c r="C106" i="1"/>
  <c r="D106" i="1"/>
  <c r="G106" i="1"/>
  <c r="E105" i="1"/>
  <c r="F105" i="1"/>
  <c r="A106" i="1"/>
  <c r="A107" i="1"/>
  <c r="E106" i="1"/>
  <c r="F106" i="1"/>
  <c r="G107" i="1"/>
  <c r="B108" i="1"/>
  <c r="C107" i="1"/>
  <c r="D107" i="1"/>
  <c r="C108" i="1"/>
  <c r="D108" i="1"/>
  <c r="B109" i="1"/>
  <c r="G108" i="1"/>
  <c r="AF12" i="1"/>
  <c r="AF14" i="1"/>
  <c r="E107" i="1"/>
  <c r="F107" i="1"/>
  <c r="A108" i="1"/>
  <c r="A109" i="1"/>
  <c r="B110" i="1"/>
  <c r="C109" i="1"/>
  <c r="D109" i="1"/>
  <c r="E108" i="1"/>
  <c r="F108" i="1"/>
  <c r="G109" i="1"/>
  <c r="B111" i="1"/>
  <c r="C110" i="1"/>
  <c r="D110" i="1"/>
  <c r="G110" i="1"/>
  <c r="E109" i="1"/>
  <c r="F109" i="1"/>
  <c r="A110" i="1"/>
  <c r="A111" i="1"/>
  <c r="E110" i="1"/>
  <c r="F110" i="1"/>
  <c r="G111" i="1"/>
  <c r="B112" i="1"/>
  <c r="C111" i="1"/>
  <c r="D111" i="1"/>
  <c r="E111" i="1"/>
  <c r="F111" i="1"/>
  <c r="G112" i="1"/>
  <c r="C112" i="1"/>
  <c r="D112" i="1"/>
  <c r="B113" i="1"/>
  <c r="A112" i="1"/>
  <c r="A113" i="1"/>
  <c r="B114" i="1"/>
  <c r="C113" i="1"/>
  <c r="D113" i="1"/>
  <c r="G113" i="1"/>
  <c r="E112" i="1"/>
  <c r="F112" i="1"/>
  <c r="E113" i="1"/>
  <c r="F113" i="1"/>
  <c r="G114" i="1"/>
  <c r="B115" i="1"/>
  <c r="C114" i="1"/>
  <c r="D114" i="1"/>
  <c r="A114" i="1"/>
  <c r="A115" i="1"/>
  <c r="E114" i="1"/>
  <c r="F114" i="1"/>
  <c r="G115" i="1"/>
  <c r="B116" i="1"/>
  <c r="C115" i="1"/>
  <c r="D115" i="1"/>
  <c r="E115" i="1"/>
  <c r="F115" i="1"/>
  <c r="G116" i="1"/>
  <c r="C116" i="1"/>
  <c r="D116" i="1"/>
  <c r="B117" i="1"/>
  <c r="A116" i="1"/>
  <c r="B118" i="1"/>
  <c r="C117" i="1"/>
  <c r="D117" i="1"/>
  <c r="A117" i="1"/>
  <c r="A118" i="1"/>
  <c r="G117" i="1"/>
  <c r="E116" i="1"/>
  <c r="F116" i="1"/>
  <c r="E117" i="1"/>
  <c r="F117" i="1"/>
  <c r="G118" i="1"/>
  <c r="C118" i="1"/>
  <c r="D118" i="1"/>
  <c r="B119" i="1"/>
  <c r="C119" i="1"/>
  <c r="D119" i="1"/>
  <c r="B120" i="1"/>
  <c r="A119" i="1"/>
  <c r="E118" i="1"/>
  <c r="F118" i="1"/>
  <c r="G119" i="1"/>
  <c r="A120" i="1"/>
  <c r="C120" i="1"/>
  <c r="D120" i="1"/>
  <c r="B121" i="1"/>
  <c r="G120" i="1"/>
  <c r="E119" i="1"/>
  <c r="F119" i="1"/>
  <c r="B122" i="1"/>
  <c r="C121" i="1"/>
  <c r="D121" i="1"/>
  <c r="E120" i="1"/>
  <c r="F120" i="1"/>
  <c r="G121" i="1"/>
  <c r="A121" i="1"/>
  <c r="A122" i="1"/>
  <c r="E121" i="1"/>
  <c r="F121" i="1"/>
  <c r="G122" i="1"/>
  <c r="C122" i="1"/>
  <c r="D122" i="1"/>
  <c r="B123" i="1"/>
  <c r="G123" i="1"/>
  <c r="E122" i="1"/>
  <c r="F122" i="1"/>
  <c r="B124" i="1"/>
  <c r="C123" i="1"/>
  <c r="D123" i="1"/>
  <c r="A123" i="1"/>
  <c r="A124" i="1"/>
  <c r="B125" i="1"/>
  <c r="C124" i="1"/>
  <c r="D124" i="1"/>
  <c r="E123" i="1"/>
  <c r="F123" i="1"/>
  <c r="G124" i="1"/>
  <c r="B126" i="1"/>
  <c r="C125" i="1"/>
  <c r="D125" i="1"/>
  <c r="G125" i="1"/>
  <c r="E124" i="1"/>
  <c r="F124" i="1"/>
  <c r="A125" i="1"/>
  <c r="A126" i="1"/>
  <c r="G126" i="1"/>
  <c r="E125" i="1"/>
  <c r="F125" i="1"/>
  <c r="C126" i="1"/>
  <c r="D126" i="1"/>
  <c r="B127" i="1"/>
  <c r="B128" i="1"/>
  <c r="C127" i="1"/>
  <c r="D127" i="1"/>
  <c r="G127" i="1"/>
  <c r="E126" i="1"/>
  <c r="F126" i="1"/>
  <c r="A127" i="1"/>
  <c r="A128" i="1"/>
  <c r="E127" i="1"/>
  <c r="F127" i="1"/>
  <c r="G128" i="1"/>
  <c r="B129" i="1"/>
  <c r="C128" i="1"/>
  <c r="D128" i="1"/>
  <c r="G129" i="1"/>
  <c r="E128" i="1"/>
  <c r="F128" i="1"/>
  <c r="B130" i="1"/>
  <c r="C129" i="1"/>
  <c r="D129" i="1"/>
  <c r="A129" i="1"/>
  <c r="A130" i="1"/>
  <c r="G130" i="1"/>
  <c r="E129" i="1"/>
  <c r="F129" i="1"/>
  <c r="C130" i="1"/>
  <c r="D130" i="1"/>
  <c r="B131" i="1"/>
  <c r="G131" i="1"/>
  <c r="E130" i="1"/>
  <c r="F130" i="1"/>
  <c r="C131" i="1"/>
  <c r="D131" i="1"/>
  <c r="B132" i="1"/>
  <c r="A131" i="1"/>
  <c r="A132" i="1"/>
  <c r="B133" i="1"/>
  <c r="C132" i="1"/>
  <c r="D132" i="1"/>
  <c r="E131" i="1"/>
  <c r="F131" i="1"/>
  <c r="G132" i="1"/>
  <c r="C133" i="1"/>
  <c r="D133" i="1"/>
  <c r="B134" i="1"/>
  <c r="E132" i="1"/>
  <c r="F132" i="1"/>
  <c r="G133" i="1"/>
  <c r="A133" i="1"/>
  <c r="A134" i="1"/>
  <c r="C134" i="1"/>
  <c r="D134" i="1"/>
  <c r="B135" i="1"/>
  <c r="G134" i="1"/>
  <c r="E133" i="1"/>
  <c r="F133" i="1"/>
  <c r="C135" i="1"/>
  <c r="D135" i="1"/>
  <c r="B136" i="1"/>
  <c r="G135" i="1"/>
  <c r="E134" i="1"/>
  <c r="F134" i="1"/>
  <c r="A135" i="1"/>
  <c r="A136" i="1"/>
  <c r="C136" i="1"/>
  <c r="D136" i="1"/>
  <c r="B137" i="1"/>
  <c r="E135" i="1"/>
  <c r="F135" i="1"/>
  <c r="G136" i="1"/>
  <c r="B138" i="1"/>
  <c r="C137" i="1"/>
  <c r="D137" i="1"/>
  <c r="E136" i="1"/>
  <c r="F136" i="1"/>
  <c r="G137" i="1"/>
  <c r="A137" i="1"/>
  <c r="A138" i="1"/>
  <c r="G138" i="1"/>
  <c r="E137" i="1"/>
  <c r="F137" i="1"/>
  <c r="C138" i="1"/>
  <c r="D138" i="1"/>
  <c r="B139" i="1"/>
  <c r="E138" i="1"/>
  <c r="F138" i="1"/>
  <c r="G139" i="1"/>
  <c r="B140" i="1"/>
  <c r="C139" i="1"/>
  <c r="D139" i="1"/>
  <c r="A139" i="1"/>
  <c r="A140" i="1"/>
  <c r="G140" i="1"/>
  <c r="E139" i="1"/>
  <c r="F139" i="1"/>
  <c r="B141" i="1"/>
  <c r="C140" i="1"/>
  <c r="D140" i="1"/>
  <c r="C141" i="1"/>
  <c r="D141" i="1"/>
  <c r="B142" i="1"/>
  <c r="E140" i="1"/>
  <c r="F140" i="1"/>
  <c r="G141" i="1"/>
  <c r="A141" i="1"/>
  <c r="A142" i="1"/>
  <c r="C142" i="1"/>
  <c r="D142" i="1"/>
  <c r="B143" i="1"/>
  <c r="E141" i="1"/>
  <c r="F141" i="1"/>
  <c r="G142" i="1"/>
  <c r="B144" i="1"/>
  <c r="C143" i="1"/>
  <c r="D143" i="1"/>
  <c r="E142" i="1"/>
  <c r="F142" i="1"/>
  <c r="G143" i="1"/>
  <c r="A143" i="1"/>
  <c r="A144" i="1"/>
  <c r="G144" i="1"/>
  <c r="E143" i="1"/>
  <c r="F143" i="1"/>
  <c r="B145" i="1"/>
  <c r="C144" i="1"/>
  <c r="D144" i="1"/>
  <c r="E144" i="1"/>
  <c r="F144" i="1"/>
  <c r="G145" i="1"/>
  <c r="B146" i="1"/>
  <c r="C145" i="1"/>
  <c r="D145" i="1"/>
  <c r="A145" i="1"/>
  <c r="A146" i="1"/>
  <c r="E145" i="1"/>
  <c r="F145" i="1"/>
  <c r="G146" i="1"/>
  <c r="B147" i="1"/>
  <c r="C146" i="1"/>
  <c r="D146" i="1"/>
  <c r="G147" i="1"/>
  <c r="E146" i="1"/>
  <c r="F146" i="1"/>
  <c r="B148" i="1"/>
  <c r="C147" i="1"/>
  <c r="D147" i="1"/>
  <c r="A147" i="1"/>
  <c r="A148" i="1"/>
  <c r="G148" i="1"/>
  <c r="E147" i="1"/>
  <c r="F147" i="1"/>
  <c r="C148" i="1"/>
  <c r="D148" i="1"/>
  <c r="B149" i="1"/>
  <c r="B150" i="1"/>
  <c r="C149" i="1"/>
  <c r="D149" i="1"/>
  <c r="E148" i="1"/>
  <c r="F148" i="1"/>
  <c r="G149" i="1"/>
  <c r="A149" i="1"/>
  <c r="A150" i="1"/>
  <c r="E149" i="1"/>
  <c r="F149" i="1"/>
  <c r="G150" i="1"/>
  <c r="C150" i="1"/>
  <c r="D150" i="1"/>
  <c r="B151" i="1"/>
  <c r="G151" i="1"/>
  <c r="E150" i="1"/>
  <c r="F150" i="1"/>
  <c r="C151" i="1"/>
  <c r="D151" i="1"/>
  <c r="B152" i="1"/>
  <c r="A151" i="1"/>
  <c r="A152" i="1"/>
  <c r="B153" i="1"/>
  <c r="C152" i="1"/>
  <c r="D152" i="1"/>
  <c r="A153" i="1"/>
  <c r="E151" i="1"/>
  <c r="F151" i="1"/>
  <c r="G152" i="1"/>
  <c r="G153" i="1"/>
  <c r="E152" i="1"/>
  <c r="F152" i="1"/>
  <c r="B154" i="1"/>
  <c r="C153" i="1"/>
  <c r="D153" i="1"/>
  <c r="C154" i="1"/>
  <c r="D154" i="1"/>
  <c r="B155" i="1"/>
  <c r="G154" i="1"/>
  <c r="E153" i="1"/>
  <c r="F153" i="1"/>
  <c r="A154" i="1"/>
  <c r="A155" i="1"/>
  <c r="B156" i="1"/>
  <c r="C155" i="1"/>
  <c r="D155" i="1"/>
  <c r="G155" i="1"/>
  <c r="E154" i="1"/>
  <c r="F154" i="1"/>
  <c r="E155" i="1"/>
  <c r="F155" i="1"/>
  <c r="G156" i="1"/>
  <c r="B157" i="1"/>
  <c r="C156" i="1"/>
  <c r="D156" i="1"/>
  <c r="A156" i="1"/>
  <c r="A157" i="1"/>
  <c r="E156" i="1"/>
  <c r="F156" i="1"/>
  <c r="G157" i="1"/>
  <c r="C157" i="1"/>
  <c r="D157" i="1"/>
  <c r="B158" i="1"/>
  <c r="E157" i="1"/>
  <c r="F157" i="1"/>
  <c r="G158" i="1"/>
  <c r="C158" i="1"/>
  <c r="D158" i="1"/>
  <c r="B159" i="1"/>
  <c r="A158" i="1"/>
  <c r="A159" i="1"/>
  <c r="C159" i="1"/>
  <c r="D159" i="1"/>
  <c r="B160" i="1"/>
  <c r="G159" i="1"/>
  <c r="E158" i="1"/>
  <c r="F158" i="1"/>
  <c r="B161" i="1"/>
  <c r="C160" i="1"/>
  <c r="D160" i="1"/>
  <c r="E159" i="1"/>
  <c r="F159" i="1"/>
  <c r="G160" i="1"/>
  <c r="A160" i="1"/>
  <c r="A161" i="1"/>
  <c r="E160" i="1"/>
  <c r="F160" i="1"/>
  <c r="G161" i="1"/>
  <c r="B162" i="1"/>
  <c r="C161" i="1"/>
  <c r="D161" i="1"/>
  <c r="E161" i="1"/>
  <c r="F161" i="1"/>
  <c r="G162" i="1"/>
  <c r="C162" i="1"/>
  <c r="D162" i="1"/>
  <c r="B163" i="1"/>
  <c r="A162" i="1"/>
  <c r="A163" i="1"/>
  <c r="B164" i="1"/>
  <c r="C163" i="1"/>
  <c r="D163" i="1"/>
  <c r="G163" i="1"/>
  <c r="E162" i="1"/>
  <c r="F162" i="1"/>
  <c r="G164" i="1"/>
  <c r="E163" i="1"/>
  <c r="F163" i="1"/>
  <c r="A164" i="1"/>
  <c r="B165" i="1"/>
  <c r="A165" i="1"/>
  <c r="C164" i="1"/>
  <c r="D164" i="1"/>
  <c r="E164" i="1"/>
  <c r="F164" i="1"/>
  <c r="G165" i="1"/>
  <c r="B166" i="1"/>
  <c r="C165" i="1"/>
  <c r="D165" i="1"/>
  <c r="E165" i="1"/>
  <c r="F165" i="1"/>
  <c r="G166" i="1"/>
  <c r="B167" i="1"/>
  <c r="C166" i="1"/>
  <c r="D166" i="1"/>
  <c r="A166" i="1"/>
  <c r="A167" i="1"/>
  <c r="E166" i="1"/>
  <c r="F166" i="1"/>
  <c r="G167" i="1"/>
  <c r="B168" i="1"/>
  <c r="C167" i="1"/>
  <c r="D167" i="1"/>
  <c r="E167" i="1"/>
  <c r="F167" i="1"/>
  <c r="G168" i="1"/>
  <c r="C168" i="1"/>
  <c r="D168" i="1"/>
  <c r="B169" i="1"/>
  <c r="A168" i="1"/>
  <c r="A169" i="1"/>
  <c r="C169" i="1"/>
  <c r="D169" i="1"/>
  <c r="B170" i="1"/>
  <c r="E168" i="1"/>
  <c r="F168" i="1"/>
  <c r="G169" i="1"/>
  <c r="C170" i="1"/>
  <c r="D170" i="1"/>
  <c r="B171" i="1"/>
  <c r="E169" i="1"/>
  <c r="F169" i="1"/>
  <c r="G170" i="1"/>
  <c r="A170" i="1"/>
  <c r="A171" i="1"/>
  <c r="C171" i="1"/>
  <c r="D171" i="1"/>
  <c r="B172" i="1"/>
  <c r="G171" i="1"/>
  <c r="E170" i="1"/>
  <c r="F170" i="1"/>
  <c r="C172" i="1"/>
  <c r="D172" i="1"/>
  <c r="B173" i="1"/>
  <c r="G172" i="1"/>
  <c r="E171" i="1"/>
  <c r="F171" i="1"/>
  <c r="A172" i="1"/>
  <c r="A173" i="1"/>
  <c r="C173" i="1"/>
  <c r="D173" i="1"/>
  <c r="B174" i="1"/>
  <c r="E172" i="1"/>
  <c r="F172" i="1"/>
  <c r="G173" i="1"/>
  <c r="E173" i="1"/>
  <c r="F173" i="1"/>
  <c r="G174" i="1"/>
  <c r="C174" i="1"/>
  <c r="D174" i="1"/>
  <c r="B175" i="1"/>
  <c r="A174" i="1"/>
  <c r="A175" i="1"/>
  <c r="G175" i="1"/>
  <c r="E174" i="1"/>
  <c r="F174" i="1"/>
  <c r="C175" i="1"/>
  <c r="D175" i="1"/>
  <c r="B176" i="1"/>
  <c r="A176" i="1"/>
  <c r="B177" i="1"/>
  <c r="C176" i="1"/>
  <c r="D176" i="1"/>
  <c r="E175" i="1"/>
  <c r="F175" i="1"/>
  <c r="G176" i="1"/>
  <c r="G177" i="1"/>
  <c r="E176" i="1"/>
  <c r="F176" i="1"/>
  <c r="B178" i="1"/>
  <c r="C177" i="1"/>
  <c r="D177" i="1"/>
  <c r="A177" i="1"/>
  <c r="A178" i="1"/>
  <c r="E177" i="1"/>
  <c r="F177" i="1"/>
  <c r="G178" i="1"/>
  <c r="C178" i="1"/>
  <c r="D178" i="1"/>
  <c r="B179" i="1"/>
  <c r="G179" i="1"/>
  <c r="E178" i="1"/>
  <c r="F178" i="1"/>
  <c r="B180" i="1"/>
  <c r="C179" i="1"/>
  <c r="D179" i="1"/>
  <c r="A179" i="1"/>
  <c r="A180" i="1"/>
  <c r="B181" i="1"/>
  <c r="C180" i="1"/>
  <c r="D180" i="1"/>
  <c r="E179" i="1"/>
  <c r="F179" i="1"/>
  <c r="G180" i="1"/>
  <c r="E180" i="1"/>
  <c r="F180" i="1"/>
  <c r="G181" i="1"/>
  <c r="B182" i="1"/>
  <c r="C181" i="1"/>
  <c r="D181" i="1"/>
  <c r="A181" i="1"/>
  <c r="A182" i="1"/>
  <c r="E181" i="1"/>
  <c r="F181" i="1"/>
  <c r="G182" i="1"/>
  <c r="B183" i="1"/>
  <c r="C182" i="1"/>
  <c r="D182" i="1"/>
  <c r="E182" i="1"/>
  <c r="F182" i="1"/>
  <c r="G183" i="1"/>
  <c r="B184" i="1"/>
  <c r="C183" i="1"/>
  <c r="D183" i="1"/>
  <c r="A183" i="1"/>
  <c r="A184" i="1"/>
  <c r="G184" i="1"/>
  <c r="E183" i="1"/>
  <c r="F183" i="1"/>
  <c r="C184" i="1"/>
  <c r="D184" i="1"/>
  <c r="B185" i="1"/>
  <c r="C185" i="1"/>
  <c r="D185" i="1"/>
  <c r="B186" i="1"/>
  <c r="A185" i="1"/>
  <c r="G185" i="1"/>
  <c r="E184" i="1"/>
  <c r="F184" i="1"/>
  <c r="B187" i="1"/>
  <c r="C186" i="1"/>
  <c r="D186" i="1"/>
  <c r="A186" i="1"/>
  <c r="A187" i="1"/>
  <c r="E185" i="1"/>
  <c r="F185" i="1"/>
  <c r="G186" i="1"/>
  <c r="E186" i="1"/>
  <c r="F186" i="1"/>
  <c r="G187" i="1"/>
  <c r="B188" i="1"/>
  <c r="C187" i="1"/>
  <c r="D187" i="1"/>
  <c r="G188" i="1"/>
  <c r="E187" i="1"/>
  <c r="F187" i="1"/>
  <c r="A188" i="1"/>
  <c r="B189" i="1"/>
  <c r="C188" i="1"/>
  <c r="D188" i="1"/>
  <c r="B190" i="1"/>
  <c r="C189" i="1"/>
  <c r="D189" i="1"/>
  <c r="E188" i="1"/>
  <c r="F188" i="1"/>
  <c r="G189" i="1"/>
  <c r="A189" i="1"/>
  <c r="A190" i="1"/>
  <c r="G190" i="1"/>
  <c r="E189" i="1"/>
  <c r="F189" i="1"/>
  <c r="B191" i="1"/>
  <c r="C190" i="1"/>
  <c r="D190" i="1"/>
  <c r="C191" i="1"/>
  <c r="D191" i="1"/>
  <c r="B192" i="1"/>
  <c r="G191" i="1"/>
  <c r="E190" i="1"/>
  <c r="F190" i="1"/>
  <c r="A191" i="1"/>
  <c r="A192" i="1"/>
  <c r="B193" i="1"/>
  <c r="C192" i="1"/>
  <c r="D192" i="1"/>
  <c r="E191" i="1"/>
  <c r="F191" i="1"/>
  <c r="G192" i="1"/>
  <c r="G193" i="1"/>
  <c r="E192" i="1"/>
  <c r="F192" i="1"/>
  <c r="C193" i="1"/>
  <c r="D193" i="1"/>
  <c r="B194" i="1"/>
  <c r="A193" i="1"/>
  <c r="A194" i="1"/>
  <c r="C194" i="1"/>
  <c r="D194" i="1"/>
  <c r="B195" i="1"/>
  <c r="E193" i="1"/>
  <c r="F193" i="1"/>
  <c r="G194" i="1"/>
  <c r="C195" i="1"/>
  <c r="D195" i="1"/>
  <c r="B196" i="1"/>
  <c r="G195" i="1"/>
  <c r="E194" i="1"/>
  <c r="F194" i="1"/>
  <c r="A195" i="1"/>
  <c r="A196" i="1"/>
  <c r="B197" i="1"/>
  <c r="C196" i="1"/>
  <c r="D196" i="1"/>
  <c r="G196" i="1"/>
  <c r="E195" i="1"/>
  <c r="F195" i="1"/>
  <c r="E196" i="1"/>
  <c r="F196" i="1"/>
  <c r="G197" i="1"/>
  <c r="B198" i="1"/>
  <c r="C197" i="1"/>
  <c r="D197" i="1"/>
  <c r="A197" i="1"/>
  <c r="A198" i="1"/>
  <c r="C198" i="1"/>
  <c r="D198" i="1"/>
  <c r="B199" i="1"/>
  <c r="E197" i="1"/>
  <c r="F197" i="1"/>
  <c r="G198" i="1"/>
  <c r="B200" i="1"/>
  <c r="C199" i="1"/>
  <c r="D199" i="1"/>
  <c r="E198" i="1"/>
  <c r="F198" i="1"/>
  <c r="G199" i="1"/>
  <c r="A199" i="1"/>
  <c r="A200" i="1"/>
  <c r="E199" i="1"/>
  <c r="F199" i="1"/>
  <c r="G200" i="1"/>
  <c r="C200" i="1"/>
  <c r="D200" i="1"/>
  <c r="B201" i="1"/>
  <c r="B202" i="1"/>
  <c r="C201" i="1"/>
  <c r="D201" i="1"/>
  <c r="G201" i="1"/>
  <c r="E200" i="1"/>
  <c r="F200" i="1"/>
  <c r="A201" i="1"/>
  <c r="A202" i="1"/>
  <c r="G202" i="1"/>
  <c r="E201" i="1"/>
  <c r="F201" i="1"/>
  <c r="C202" i="1"/>
  <c r="D202" i="1"/>
  <c r="B203" i="1"/>
  <c r="B204" i="1"/>
  <c r="C203" i="1"/>
  <c r="D203" i="1"/>
  <c r="G203" i="1"/>
  <c r="E202" i="1"/>
  <c r="F202" i="1"/>
  <c r="A203" i="1"/>
  <c r="A204" i="1"/>
  <c r="E203" i="1"/>
  <c r="F203" i="1"/>
  <c r="G204" i="1"/>
  <c r="C204" i="1"/>
  <c r="D204" i="1"/>
  <c r="B205" i="1"/>
  <c r="B206" i="1"/>
  <c r="C205" i="1"/>
  <c r="D205" i="1"/>
  <c r="E204" i="1"/>
  <c r="F204" i="1"/>
  <c r="G205" i="1"/>
  <c r="A205" i="1"/>
  <c r="A206" i="1"/>
  <c r="E205" i="1"/>
  <c r="F205" i="1"/>
  <c r="G206" i="1"/>
  <c r="B207" i="1"/>
  <c r="C206" i="1"/>
  <c r="D206" i="1"/>
  <c r="B208" i="1"/>
  <c r="C207" i="1"/>
  <c r="D207" i="1"/>
  <c r="G207" i="1"/>
  <c r="E206" i="1"/>
  <c r="F206" i="1"/>
  <c r="A207" i="1"/>
  <c r="A208" i="1"/>
  <c r="G208" i="1"/>
  <c r="E207" i="1"/>
  <c r="F207" i="1"/>
  <c r="B209" i="1"/>
  <c r="C208" i="1"/>
  <c r="D208" i="1"/>
  <c r="C209" i="1"/>
  <c r="D209" i="1"/>
  <c r="B210" i="1"/>
  <c r="G209" i="1"/>
  <c r="E208" i="1"/>
  <c r="F208" i="1"/>
  <c r="A209" i="1"/>
  <c r="A210" i="1"/>
  <c r="C210" i="1"/>
  <c r="D210" i="1"/>
  <c r="B211" i="1"/>
  <c r="A211" i="1"/>
  <c r="G210" i="1"/>
  <c r="E209" i="1"/>
  <c r="F209" i="1"/>
  <c r="C211" i="1"/>
  <c r="D211" i="1"/>
  <c r="B212" i="1"/>
  <c r="E210" i="1"/>
  <c r="F210" i="1"/>
  <c r="G211" i="1"/>
  <c r="B213" i="1"/>
  <c r="C212" i="1"/>
  <c r="D212" i="1"/>
  <c r="A212" i="1"/>
  <c r="A213" i="1"/>
  <c r="G212" i="1"/>
  <c r="E211" i="1"/>
  <c r="F211" i="1"/>
  <c r="E212" i="1"/>
  <c r="F212" i="1"/>
  <c r="G213" i="1"/>
  <c r="C213" i="1"/>
  <c r="D213" i="1"/>
  <c r="B214" i="1"/>
  <c r="G214" i="1"/>
  <c r="E213" i="1"/>
  <c r="F213" i="1"/>
  <c r="B215" i="1"/>
  <c r="C214" i="1"/>
  <c r="D214" i="1"/>
  <c r="A214" i="1"/>
  <c r="A215" i="1"/>
  <c r="E214" i="1"/>
  <c r="F214" i="1"/>
  <c r="G215" i="1"/>
  <c r="B216" i="1"/>
  <c r="C215" i="1"/>
  <c r="D215" i="1"/>
  <c r="G216" i="1"/>
  <c r="E215" i="1"/>
  <c r="F215" i="1"/>
  <c r="C216" i="1"/>
  <c r="D216" i="1"/>
  <c r="B217" i="1"/>
  <c r="A216" i="1"/>
  <c r="A217" i="1"/>
  <c r="C217" i="1"/>
  <c r="D217" i="1"/>
  <c r="B218" i="1"/>
  <c r="G217" i="1"/>
  <c r="E216" i="1"/>
  <c r="F216" i="1"/>
  <c r="C218" i="1"/>
  <c r="D218" i="1"/>
  <c r="B219" i="1"/>
  <c r="E217" i="1"/>
  <c r="F217" i="1"/>
  <c r="G218" i="1"/>
  <c r="A218" i="1"/>
  <c r="A219" i="1"/>
  <c r="B220" i="1"/>
  <c r="C219" i="1"/>
  <c r="D219" i="1"/>
  <c r="E218" i="1"/>
  <c r="F218" i="1"/>
  <c r="G219" i="1"/>
  <c r="G220" i="1"/>
  <c r="E219" i="1"/>
  <c r="F219" i="1"/>
  <c r="B221" i="1"/>
  <c r="C220" i="1"/>
  <c r="D220" i="1"/>
  <c r="A220" i="1"/>
  <c r="A221" i="1"/>
  <c r="G221" i="1"/>
  <c r="E220" i="1"/>
  <c r="F220" i="1"/>
  <c r="B222" i="1"/>
  <c r="C221" i="1"/>
  <c r="D221" i="1"/>
  <c r="B223" i="1"/>
  <c r="C222" i="1"/>
  <c r="D222" i="1"/>
  <c r="E221" i="1"/>
  <c r="F221" i="1"/>
  <c r="G222" i="1"/>
  <c r="A222" i="1"/>
  <c r="A223" i="1"/>
  <c r="E222" i="1"/>
  <c r="F222" i="1"/>
  <c r="G223" i="1"/>
  <c r="C223" i="1"/>
  <c r="D223" i="1"/>
  <c r="B224" i="1"/>
  <c r="E223" i="1"/>
  <c r="F223" i="1"/>
  <c r="G224" i="1"/>
  <c r="C224" i="1"/>
  <c r="D224" i="1"/>
  <c r="B225" i="1"/>
  <c r="A224" i="1"/>
  <c r="A225" i="1"/>
  <c r="B226" i="1"/>
  <c r="C225" i="1"/>
  <c r="D225" i="1"/>
  <c r="E224" i="1"/>
  <c r="F224" i="1"/>
  <c r="G225" i="1"/>
  <c r="G226" i="1"/>
  <c r="E225" i="1"/>
  <c r="F225" i="1"/>
  <c r="C226" i="1"/>
  <c r="D226" i="1"/>
  <c r="B227" i="1"/>
  <c r="A226" i="1"/>
  <c r="A227" i="1"/>
  <c r="B228" i="1"/>
  <c r="C227" i="1"/>
  <c r="D227" i="1"/>
  <c r="G227" i="1"/>
  <c r="E226" i="1"/>
  <c r="F226" i="1"/>
  <c r="E227" i="1"/>
  <c r="F227" i="1"/>
  <c r="G228" i="1"/>
  <c r="C228" i="1"/>
  <c r="D228" i="1"/>
  <c r="B229" i="1"/>
  <c r="A228" i="1"/>
  <c r="A229" i="1"/>
  <c r="B230" i="1"/>
  <c r="C229" i="1"/>
  <c r="D229" i="1"/>
  <c r="G229" i="1"/>
  <c r="E228" i="1"/>
  <c r="F228" i="1"/>
  <c r="E229" i="1"/>
  <c r="F229" i="1"/>
  <c r="G230" i="1"/>
  <c r="B231" i="1"/>
  <c r="C230" i="1"/>
  <c r="D230" i="1"/>
  <c r="A230" i="1"/>
  <c r="A231" i="1"/>
  <c r="E230" i="1"/>
  <c r="F230" i="1"/>
  <c r="G231" i="1"/>
  <c r="B232" i="1"/>
  <c r="C231" i="1"/>
  <c r="D231" i="1"/>
  <c r="B233" i="1"/>
  <c r="C232" i="1"/>
  <c r="D232" i="1"/>
  <c r="E231" i="1"/>
  <c r="F231" i="1"/>
  <c r="G232" i="1"/>
  <c r="A232" i="1"/>
  <c r="A233" i="1"/>
  <c r="E232" i="1"/>
  <c r="F232" i="1"/>
  <c r="G233" i="1"/>
  <c r="B234" i="1"/>
  <c r="C233" i="1"/>
  <c r="D233" i="1"/>
  <c r="B235" i="1"/>
  <c r="C234" i="1"/>
  <c r="D234" i="1"/>
  <c r="E233" i="1"/>
  <c r="F233" i="1"/>
  <c r="G234" i="1"/>
  <c r="A234" i="1"/>
  <c r="A235" i="1"/>
  <c r="G235" i="1"/>
  <c r="E234" i="1"/>
  <c r="F234" i="1"/>
  <c r="B236" i="1"/>
  <c r="C235" i="1"/>
  <c r="D235" i="1"/>
  <c r="C236" i="1"/>
  <c r="D236" i="1"/>
  <c r="B237" i="1"/>
  <c r="G236" i="1"/>
  <c r="E235" i="1"/>
  <c r="F235" i="1"/>
  <c r="A236" i="1"/>
  <c r="A237" i="1"/>
  <c r="B238" i="1"/>
  <c r="C237" i="1"/>
  <c r="D237" i="1"/>
  <c r="E236" i="1"/>
  <c r="F236" i="1"/>
  <c r="G237" i="1"/>
  <c r="G238" i="1"/>
  <c r="E237" i="1"/>
  <c r="F237" i="1"/>
  <c r="B239" i="1"/>
  <c r="C238" i="1"/>
  <c r="D238" i="1"/>
  <c r="A238" i="1"/>
  <c r="A239" i="1"/>
  <c r="E238" i="1"/>
  <c r="F238" i="1"/>
  <c r="G239" i="1"/>
  <c r="C239" i="1"/>
  <c r="D239" i="1"/>
  <c r="B240" i="1"/>
  <c r="G240" i="1"/>
  <c r="E239" i="1"/>
  <c r="F239" i="1"/>
  <c r="B241" i="1"/>
  <c r="C240" i="1"/>
  <c r="D240" i="1"/>
  <c r="A240" i="1"/>
  <c r="A241" i="1"/>
  <c r="B242" i="1"/>
  <c r="C241" i="1"/>
  <c r="D241" i="1"/>
  <c r="G241" i="1"/>
  <c r="E240" i="1"/>
  <c r="F240" i="1"/>
  <c r="G242" i="1"/>
  <c r="E241" i="1"/>
  <c r="F241" i="1"/>
  <c r="C242" i="1"/>
  <c r="D242" i="1"/>
  <c r="B243" i="1"/>
  <c r="A242" i="1"/>
  <c r="A243" i="1"/>
  <c r="C243" i="1"/>
  <c r="D243" i="1"/>
  <c r="B244" i="1"/>
  <c r="G243" i="1"/>
  <c r="E242" i="1"/>
  <c r="F242" i="1"/>
  <c r="G244" i="1"/>
  <c r="E243" i="1"/>
  <c r="F243" i="1"/>
  <c r="C244" i="1"/>
  <c r="D244" i="1"/>
  <c r="B245" i="1"/>
  <c r="A244" i="1"/>
  <c r="A245" i="1"/>
  <c r="B246" i="1"/>
  <c r="C245" i="1"/>
  <c r="D245" i="1"/>
  <c r="E244" i="1"/>
  <c r="F244" i="1"/>
  <c r="G245" i="1"/>
  <c r="C246" i="1"/>
  <c r="D246" i="1"/>
  <c r="B247" i="1"/>
  <c r="G246" i="1"/>
  <c r="E245" i="1"/>
  <c r="F245" i="1"/>
  <c r="A246" i="1"/>
  <c r="A247" i="1"/>
  <c r="B248" i="1"/>
  <c r="C247" i="1"/>
  <c r="D247" i="1"/>
  <c r="G247" i="1"/>
  <c r="E246" i="1"/>
  <c r="F246" i="1"/>
  <c r="G248" i="1"/>
  <c r="E247" i="1"/>
  <c r="F247" i="1"/>
  <c r="C248" i="1"/>
  <c r="D248" i="1"/>
  <c r="B249" i="1"/>
  <c r="A248" i="1"/>
  <c r="A249" i="1"/>
  <c r="B250" i="1"/>
  <c r="C249" i="1"/>
  <c r="D249" i="1"/>
  <c r="A250" i="1"/>
  <c r="G249" i="1"/>
  <c r="E248" i="1"/>
  <c r="F248" i="1"/>
  <c r="E249" i="1"/>
  <c r="F249" i="1"/>
  <c r="G250" i="1"/>
  <c r="C250" i="1"/>
  <c r="D250" i="1"/>
  <c r="B251" i="1"/>
  <c r="B252" i="1"/>
  <c r="C251" i="1"/>
  <c r="D251" i="1"/>
  <c r="E250" i="1"/>
  <c r="F250" i="1"/>
  <c r="G251" i="1"/>
  <c r="A251" i="1"/>
  <c r="A252" i="1"/>
  <c r="E251" i="1"/>
  <c r="F251" i="1"/>
  <c r="G252" i="1"/>
  <c r="C252" i="1"/>
  <c r="D252" i="1"/>
  <c r="B253" i="1"/>
  <c r="C253" i="1"/>
  <c r="D253" i="1"/>
  <c r="B254" i="1"/>
  <c r="G253" i="1"/>
  <c r="E252" i="1"/>
  <c r="F252" i="1"/>
  <c r="A253" i="1"/>
  <c r="A254" i="1"/>
  <c r="B255" i="1"/>
  <c r="C254" i="1"/>
  <c r="D254" i="1"/>
  <c r="G254" i="1"/>
  <c r="E253" i="1"/>
  <c r="F253" i="1"/>
  <c r="C255" i="1"/>
  <c r="D255" i="1"/>
  <c r="B256" i="1"/>
  <c r="E254" i="1"/>
  <c r="F254" i="1"/>
  <c r="G255" i="1"/>
  <c r="A255" i="1"/>
  <c r="A256" i="1"/>
  <c r="C256" i="1"/>
  <c r="D256" i="1"/>
  <c r="B257" i="1"/>
  <c r="E255" i="1"/>
  <c r="F255" i="1"/>
  <c r="G256" i="1"/>
  <c r="B258" i="1"/>
  <c r="C257" i="1"/>
  <c r="D257" i="1"/>
  <c r="G257" i="1"/>
  <c r="E256" i="1"/>
  <c r="F256" i="1"/>
  <c r="A257" i="1"/>
  <c r="A258" i="1"/>
  <c r="E257" i="1"/>
  <c r="F257" i="1"/>
  <c r="G258" i="1"/>
  <c r="C258" i="1"/>
  <c r="D258" i="1"/>
  <c r="B259" i="1"/>
  <c r="C259" i="1"/>
  <c r="D259" i="1"/>
  <c r="B260" i="1"/>
  <c r="G259" i="1"/>
  <c r="E258" i="1"/>
  <c r="F258" i="1"/>
  <c r="A259" i="1"/>
  <c r="A260" i="1"/>
  <c r="C260" i="1"/>
  <c r="D260" i="1"/>
  <c r="B261" i="1"/>
  <c r="A261" i="1"/>
  <c r="G260" i="1"/>
  <c r="E259" i="1"/>
  <c r="F259" i="1"/>
  <c r="B262" i="1"/>
  <c r="C261" i="1"/>
  <c r="D261" i="1"/>
  <c r="E260" i="1"/>
  <c r="F260" i="1"/>
  <c r="G261" i="1"/>
  <c r="B263" i="1"/>
  <c r="C262" i="1"/>
  <c r="D262" i="1"/>
  <c r="G262" i="1"/>
  <c r="E261" i="1"/>
  <c r="F261" i="1"/>
  <c r="A262" i="1"/>
  <c r="A263" i="1"/>
  <c r="E262" i="1"/>
  <c r="F262" i="1"/>
  <c r="G263" i="1"/>
  <c r="B264" i="1"/>
  <c r="C263" i="1"/>
  <c r="D263" i="1"/>
  <c r="C264" i="1"/>
  <c r="D264" i="1"/>
  <c r="B265" i="1"/>
  <c r="G264" i="1"/>
  <c r="E263" i="1"/>
  <c r="F263" i="1"/>
  <c r="A264" i="1"/>
  <c r="A265" i="1"/>
  <c r="B266" i="1"/>
  <c r="C265" i="1"/>
  <c r="D265" i="1"/>
  <c r="E264" i="1"/>
  <c r="F264" i="1"/>
  <c r="G265" i="1"/>
  <c r="E265" i="1"/>
  <c r="F265" i="1"/>
  <c r="G266" i="1"/>
  <c r="B267" i="1"/>
  <c r="C266" i="1"/>
  <c r="D266" i="1"/>
  <c r="A266" i="1"/>
  <c r="A267" i="1"/>
  <c r="G267" i="1"/>
  <c r="E266" i="1"/>
  <c r="F266" i="1"/>
  <c r="C267" i="1"/>
  <c r="D267" i="1"/>
  <c r="B268" i="1"/>
  <c r="E267" i="1"/>
  <c r="F267" i="1"/>
  <c r="G268" i="1"/>
  <c r="C268" i="1"/>
  <c r="D268" i="1"/>
  <c r="B269" i="1"/>
  <c r="A268" i="1"/>
  <c r="A269" i="1"/>
  <c r="B270" i="1"/>
  <c r="C269" i="1"/>
  <c r="D269" i="1"/>
  <c r="G269" i="1"/>
  <c r="E268" i="1"/>
  <c r="F268" i="1"/>
  <c r="G270" i="1"/>
  <c r="E269" i="1"/>
  <c r="F269" i="1"/>
  <c r="B271" i="1"/>
  <c r="C270" i="1"/>
  <c r="D270" i="1"/>
  <c r="A270" i="1"/>
  <c r="A271" i="1"/>
  <c r="E270" i="1"/>
  <c r="F270" i="1"/>
  <c r="G271" i="1"/>
  <c r="C271" i="1"/>
  <c r="D271" i="1"/>
  <c r="B272" i="1"/>
  <c r="B273" i="1"/>
  <c r="C272" i="1"/>
  <c r="D272" i="1"/>
  <c r="E271" i="1"/>
  <c r="F271" i="1"/>
  <c r="G272" i="1"/>
  <c r="A272" i="1"/>
  <c r="A273" i="1"/>
  <c r="G273" i="1"/>
  <c r="E272" i="1"/>
  <c r="F272" i="1"/>
  <c r="C273" i="1"/>
  <c r="D273" i="1"/>
  <c r="B274" i="1"/>
  <c r="C274" i="1"/>
  <c r="D274" i="1"/>
  <c r="B275" i="1"/>
  <c r="G274" i="1"/>
  <c r="E273" i="1"/>
  <c r="F273" i="1"/>
  <c r="A274" i="1"/>
  <c r="A275" i="1"/>
  <c r="B276" i="1"/>
  <c r="C275" i="1"/>
  <c r="D275" i="1"/>
  <c r="G275" i="1"/>
  <c r="E274" i="1"/>
  <c r="F274" i="1"/>
  <c r="G276" i="1"/>
  <c r="E275" i="1"/>
  <c r="F275" i="1"/>
  <c r="C276" i="1"/>
  <c r="D276" i="1"/>
  <c r="B277" i="1"/>
  <c r="A276" i="1"/>
  <c r="A277" i="1"/>
  <c r="B278" i="1"/>
  <c r="C277" i="1"/>
  <c r="D277" i="1"/>
  <c r="E276" i="1"/>
  <c r="F276" i="1"/>
  <c r="G277" i="1"/>
  <c r="G278" i="1"/>
  <c r="E277" i="1"/>
  <c r="F277" i="1"/>
  <c r="B279" i="1"/>
  <c r="C278" i="1"/>
  <c r="D278" i="1"/>
  <c r="A278" i="1"/>
  <c r="A279" i="1"/>
  <c r="C279" i="1"/>
  <c r="D279" i="1"/>
  <c r="B280" i="1"/>
  <c r="E278" i="1"/>
  <c r="F278" i="1"/>
  <c r="G279" i="1"/>
  <c r="B281" i="1"/>
  <c r="C280" i="1"/>
  <c r="D280" i="1"/>
  <c r="E279" i="1"/>
  <c r="F279" i="1"/>
  <c r="G280" i="1"/>
  <c r="A280" i="1"/>
  <c r="A281" i="1"/>
  <c r="G281" i="1"/>
  <c r="E280" i="1"/>
  <c r="F280" i="1"/>
  <c r="B282" i="1"/>
  <c r="C281" i="1"/>
  <c r="D281" i="1"/>
  <c r="B283" i="1"/>
  <c r="C282" i="1"/>
  <c r="D282" i="1"/>
  <c r="E281" i="1"/>
  <c r="F281" i="1"/>
  <c r="G282" i="1"/>
  <c r="A282" i="1"/>
  <c r="A283" i="1"/>
  <c r="G283" i="1"/>
  <c r="E282" i="1"/>
  <c r="F282" i="1"/>
  <c r="B284" i="1"/>
  <c r="C283" i="1"/>
  <c r="D283" i="1"/>
  <c r="C284" i="1"/>
  <c r="D284" i="1"/>
  <c r="B285" i="1"/>
  <c r="G284" i="1"/>
  <c r="E283" i="1"/>
  <c r="F283" i="1"/>
  <c r="A284" i="1"/>
  <c r="A285" i="1"/>
  <c r="C285" i="1"/>
  <c r="D285" i="1"/>
  <c r="B286" i="1"/>
  <c r="G285" i="1"/>
  <c r="E284" i="1"/>
  <c r="F284" i="1"/>
  <c r="C286" i="1"/>
  <c r="D286" i="1"/>
  <c r="B287" i="1"/>
  <c r="E285" i="1"/>
  <c r="F285" i="1"/>
  <c r="G286" i="1"/>
  <c r="A286" i="1"/>
  <c r="A287" i="1"/>
  <c r="C287" i="1"/>
  <c r="D287" i="1"/>
  <c r="B288" i="1"/>
  <c r="G287" i="1"/>
  <c r="E286" i="1"/>
  <c r="F286" i="1"/>
  <c r="B289" i="1"/>
  <c r="C288" i="1"/>
  <c r="D288" i="1"/>
  <c r="A288" i="1"/>
  <c r="A289" i="1"/>
  <c r="G288" i="1"/>
  <c r="E287" i="1"/>
  <c r="F287" i="1"/>
  <c r="E288" i="1"/>
  <c r="F288" i="1"/>
  <c r="G289" i="1"/>
  <c r="B290" i="1"/>
  <c r="C289" i="1"/>
  <c r="D289" i="1"/>
  <c r="G290" i="1"/>
  <c r="E289" i="1"/>
  <c r="F289" i="1"/>
  <c r="B291" i="1"/>
  <c r="C290" i="1"/>
  <c r="D290" i="1"/>
  <c r="A290" i="1"/>
  <c r="A291" i="1"/>
  <c r="E290" i="1"/>
  <c r="F290" i="1"/>
  <c r="G291" i="1"/>
  <c r="B292" i="1"/>
  <c r="C291" i="1"/>
  <c r="D291" i="1"/>
  <c r="G292" i="1"/>
  <c r="E291" i="1"/>
  <c r="F291" i="1"/>
  <c r="B293" i="1"/>
  <c r="C292" i="1"/>
  <c r="D292" i="1"/>
  <c r="A292" i="1"/>
  <c r="A293" i="1"/>
  <c r="E292" i="1"/>
  <c r="F292" i="1"/>
  <c r="G293" i="1"/>
  <c r="B294" i="1"/>
  <c r="C293" i="1"/>
  <c r="D293" i="1"/>
  <c r="B295" i="1"/>
  <c r="C294" i="1"/>
  <c r="D294" i="1"/>
  <c r="G294" i="1"/>
  <c r="E293" i="1"/>
  <c r="F293" i="1"/>
  <c r="A294" i="1"/>
  <c r="A295" i="1"/>
  <c r="E294" i="1"/>
  <c r="F294" i="1"/>
  <c r="G295" i="1"/>
  <c r="B296" i="1"/>
  <c r="C295" i="1"/>
  <c r="D295" i="1"/>
  <c r="E295" i="1"/>
  <c r="F295" i="1"/>
  <c r="G296" i="1"/>
  <c r="B297" i="1"/>
  <c r="C296" i="1"/>
  <c r="D296" i="1"/>
  <c r="A296" i="1"/>
  <c r="A297" i="1"/>
  <c r="C297" i="1"/>
  <c r="D297" i="1"/>
  <c r="B298" i="1"/>
  <c r="G297" i="1"/>
  <c r="E296" i="1"/>
  <c r="F296" i="1"/>
  <c r="C298" i="1"/>
  <c r="D298" i="1"/>
  <c r="B299" i="1"/>
  <c r="E297" i="1"/>
  <c r="F297" i="1"/>
  <c r="G298" i="1"/>
  <c r="A298" i="1"/>
  <c r="A299" i="1"/>
  <c r="B300" i="1"/>
  <c r="C299" i="1"/>
  <c r="D299" i="1"/>
  <c r="G299" i="1"/>
  <c r="E298" i="1"/>
  <c r="F298" i="1"/>
  <c r="G300" i="1"/>
  <c r="E299" i="1"/>
  <c r="F299" i="1"/>
  <c r="B301" i="1"/>
  <c r="C300" i="1"/>
  <c r="D300" i="1"/>
  <c r="A300" i="1"/>
  <c r="A301" i="1"/>
  <c r="C301" i="1"/>
  <c r="D301" i="1"/>
  <c r="B302" i="1"/>
  <c r="E300" i="1"/>
  <c r="F300" i="1"/>
  <c r="G301" i="1"/>
  <c r="C302" i="1"/>
  <c r="D302" i="1"/>
  <c r="B303" i="1"/>
  <c r="E301" i="1"/>
  <c r="F301" i="1"/>
  <c r="G302" i="1"/>
  <c r="A302" i="1"/>
  <c r="A303" i="1"/>
  <c r="B304" i="1"/>
  <c r="C303" i="1"/>
  <c r="D303" i="1"/>
  <c r="G303" i="1"/>
  <c r="E302" i="1"/>
  <c r="F302" i="1"/>
  <c r="E303" i="1"/>
  <c r="F303" i="1"/>
  <c r="G304" i="1"/>
  <c r="B305" i="1"/>
  <c r="C304" i="1"/>
  <c r="D304" i="1"/>
  <c r="A304" i="1"/>
  <c r="A305" i="1"/>
  <c r="E304" i="1"/>
  <c r="F304" i="1"/>
  <c r="G305" i="1"/>
  <c r="C305" i="1"/>
  <c r="D305" i="1"/>
  <c r="B306" i="1"/>
  <c r="B307" i="1"/>
  <c r="C306" i="1"/>
  <c r="D306" i="1"/>
  <c r="G306" i="1"/>
  <c r="E305" i="1"/>
  <c r="F305" i="1"/>
  <c r="A306" i="1"/>
  <c r="A307" i="1"/>
  <c r="E306" i="1"/>
  <c r="F306" i="1"/>
  <c r="G307" i="1"/>
  <c r="C307" i="1"/>
  <c r="D307" i="1"/>
  <c r="B308" i="1"/>
  <c r="B309" i="1"/>
  <c r="C308" i="1"/>
  <c r="D308" i="1"/>
  <c r="G308" i="1"/>
  <c r="E307" i="1"/>
  <c r="F307" i="1"/>
  <c r="A308" i="1"/>
  <c r="A309" i="1"/>
  <c r="G309" i="1"/>
  <c r="E308" i="1"/>
  <c r="F308" i="1"/>
  <c r="B310" i="1"/>
  <c r="C309" i="1"/>
  <c r="D309" i="1"/>
  <c r="B311" i="1"/>
  <c r="C310" i="1"/>
  <c r="D310" i="1"/>
  <c r="G310" i="1"/>
  <c r="E309" i="1"/>
  <c r="F309" i="1"/>
  <c r="A310" i="1"/>
  <c r="A311" i="1"/>
  <c r="E310" i="1"/>
  <c r="F310" i="1"/>
  <c r="G311" i="1"/>
  <c r="C311" i="1"/>
  <c r="D311" i="1"/>
  <c r="B312" i="1"/>
  <c r="E311" i="1"/>
  <c r="F311" i="1"/>
  <c r="G312" i="1"/>
  <c r="C312" i="1"/>
  <c r="D312" i="1"/>
  <c r="B313" i="1"/>
  <c r="A312" i="1"/>
  <c r="A313" i="1"/>
  <c r="C313" i="1"/>
  <c r="D313" i="1"/>
  <c r="B314" i="1"/>
  <c r="G313" i="1"/>
  <c r="E312" i="1"/>
  <c r="F312" i="1"/>
  <c r="B315" i="1"/>
  <c r="C314" i="1"/>
  <c r="D314" i="1"/>
  <c r="E313" i="1"/>
  <c r="F313" i="1"/>
  <c r="G314" i="1"/>
  <c r="A314" i="1"/>
  <c r="A315" i="1"/>
  <c r="G315" i="1"/>
  <c r="E314" i="1"/>
  <c r="F314" i="1"/>
  <c r="B316" i="1"/>
  <c r="C315" i="1"/>
  <c r="D315" i="1"/>
  <c r="C316" i="1"/>
  <c r="D316" i="1"/>
  <c r="B317" i="1"/>
  <c r="E315" i="1"/>
  <c r="F315" i="1"/>
  <c r="G316" i="1"/>
  <c r="A316" i="1"/>
  <c r="A317" i="1"/>
  <c r="B318" i="1"/>
  <c r="C317" i="1"/>
  <c r="D317" i="1"/>
  <c r="A318" i="1"/>
  <c r="E316" i="1"/>
  <c r="F316" i="1"/>
  <c r="G317" i="1"/>
  <c r="G318" i="1"/>
  <c r="E317" i="1"/>
  <c r="F317" i="1"/>
  <c r="B319" i="1"/>
  <c r="C318" i="1"/>
  <c r="D318" i="1"/>
  <c r="C319" i="1"/>
  <c r="D319" i="1"/>
  <c r="B320" i="1"/>
  <c r="G319" i="1"/>
  <c r="E318" i="1"/>
  <c r="F318" i="1"/>
  <c r="A319" i="1"/>
  <c r="A320" i="1"/>
  <c r="C320" i="1"/>
  <c r="D320" i="1"/>
  <c r="B321" i="1"/>
  <c r="G320" i="1"/>
  <c r="E319" i="1"/>
  <c r="F319" i="1"/>
  <c r="B322" i="1"/>
  <c r="C321" i="1"/>
  <c r="D321" i="1"/>
  <c r="A321" i="1"/>
  <c r="A322" i="1"/>
  <c r="G321" i="1"/>
  <c r="E320" i="1"/>
  <c r="F320" i="1"/>
  <c r="E321" i="1"/>
  <c r="F321" i="1"/>
  <c r="G322" i="1"/>
  <c r="C322" i="1"/>
  <c r="D322" i="1"/>
  <c r="B323" i="1"/>
  <c r="G323" i="1"/>
  <c r="E322" i="1"/>
  <c r="F322" i="1"/>
  <c r="B324" i="1"/>
  <c r="C323" i="1"/>
  <c r="D323" i="1"/>
  <c r="A323" i="1"/>
  <c r="A324" i="1"/>
  <c r="E323" i="1"/>
  <c r="F323" i="1"/>
  <c r="G324" i="1"/>
  <c r="B325" i="1"/>
  <c r="C325" i="1"/>
  <c r="D325" i="1"/>
  <c r="C324" i="1"/>
  <c r="D324" i="1"/>
  <c r="E324" i="1"/>
  <c r="F324" i="1"/>
  <c r="G325" i="1"/>
  <c r="E325" i="1"/>
  <c r="F325" i="1"/>
  <c r="A325" i="1"/>
  <c r="U13" i="1"/>
  <c r="U15" i="1"/>
  <c r="AC13" i="1"/>
  <c r="AC15" i="1"/>
  <c r="F13" i="1"/>
  <c r="F15" i="1"/>
  <c r="M13" i="1"/>
  <c r="M15" i="1"/>
  <c r="J13" i="1"/>
  <c r="J15" i="1"/>
  <c r="D13" i="1"/>
  <c r="D15" i="1"/>
  <c r="I13" i="1"/>
  <c r="I15" i="1"/>
  <c r="G13" i="1"/>
  <c r="G15" i="1"/>
  <c r="O13" i="1"/>
  <c r="O15" i="1"/>
  <c r="S13" i="1"/>
  <c r="S15" i="1"/>
  <c r="T13" i="1"/>
  <c r="T15" i="1"/>
  <c r="Z13" i="1"/>
  <c r="Z15" i="1"/>
  <c r="P13" i="1"/>
  <c r="P15" i="1"/>
  <c r="AF13" i="1"/>
  <c r="AF15" i="1"/>
  <c r="W13" i="1"/>
  <c r="W15" i="1"/>
  <c r="H14" i="1"/>
  <c r="K13" i="1"/>
  <c r="K15" i="1"/>
  <c r="H13" i="1"/>
  <c r="H15" i="1"/>
  <c r="AD13" i="1"/>
  <c r="AD15" i="1"/>
  <c r="E13" i="1"/>
  <c r="E15" i="1"/>
  <c r="AA13" i="1"/>
  <c r="AA15" i="1"/>
  <c r="AD14" i="1"/>
  <c r="AB13" i="1"/>
  <c r="AB15" i="1"/>
  <c r="X13" i="1"/>
  <c r="X15" i="1"/>
  <c r="T14" i="1"/>
  <c r="Y13" i="1"/>
  <c r="Y15" i="1"/>
  <c r="L14" i="1"/>
  <c r="L13" i="1"/>
  <c r="L15" i="1"/>
  <c r="Q13" i="1"/>
  <c r="Q15" i="1"/>
  <c r="U14" i="1"/>
  <c r="K14" i="1"/>
  <c r="V13" i="1"/>
  <c r="V15" i="1"/>
  <c r="AE13" i="1"/>
  <c r="AE15" i="1"/>
  <c r="AC14" i="1"/>
  <c r="R13" i="1"/>
  <c r="R15" i="1"/>
  <c r="N13" i="1"/>
  <c r="N15" i="1"/>
  <c r="C13" i="1"/>
  <c r="C15" i="1"/>
</calcChain>
</file>

<file path=xl/sharedStrings.xml><?xml version="1.0" encoding="utf-8"?>
<sst xmlns="http://schemas.openxmlformats.org/spreadsheetml/2006/main" count="66" uniqueCount="66">
  <si>
    <t>To Print Cash Flow</t>
  </si>
  <si>
    <t>PROJECT NAME:</t>
  </si>
  <si>
    <t>CAPITAL APPROVAL DATE</t>
  </si>
  <si>
    <t>Expected RFO date</t>
  </si>
  <si>
    <t>CONSTRUCTION TIME (MONTHS)</t>
  </si>
  <si>
    <t>CAPITAL (EOJ)</t>
  </si>
  <si>
    <t>99/00</t>
  </si>
  <si>
    <t>00/01</t>
  </si>
  <si>
    <t>01/02</t>
  </si>
  <si>
    <t>02/03</t>
  </si>
  <si>
    <t xml:space="preserve">          03/04</t>
  </si>
  <si>
    <t xml:space="preserve">          04/05</t>
  </si>
  <si>
    <t xml:space="preserve">          05/06</t>
  </si>
  <si>
    <t xml:space="preserve">          06/07</t>
  </si>
  <si>
    <t xml:space="preserve">          07/08</t>
  </si>
  <si>
    <t xml:space="preserve">          08/09</t>
  </si>
  <si>
    <t xml:space="preserve">          09/10</t>
  </si>
  <si>
    <t xml:space="preserve">          10/11</t>
  </si>
  <si>
    <t xml:space="preserve">          11/12</t>
  </si>
  <si>
    <t xml:space="preserve">          12/13</t>
  </si>
  <si>
    <t xml:space="preserve">          13/14</t>
  </si>
  <si>
    <t xml:space="preserve">          14/15</t>
  </si>
  <si>
    <t xml:space="preserve">          15/16</t>
  </si>
  <si>
    <t xml:space="preserve">          16/17</t>
  </si>
  <si>
    <t xml:space="preserve">          17/18</t>
  </si>
  <si>
    <t xml:space="preserve">          18/19</t>
  </si>
  <si>
    <t xml:space="preserve">          19/20</t>
  </si>
  <si>
    <t xml:space="preserve">          20/21</t>
  </si>
  <si>
    <t xml:space="preserve">          21/22</t>
  </si>
  <si>
    <t xml:space="preserve">          22/23</t>
  </si>
  <si>
    <t xml:space="preserve">          23/24</t>
  </si>
  <si>
    <t xml:space="preserve">          24/25</t>
  </si>
  <si>
    <t xml:space="preserve">          25/26</t>
  </si>
  <si>
    <t xml:space="preserve">          26/27</t>
  </si>
  <si>
    <t xml:space="preserve">        27/28</t>
  </si>
  <si>
    <t xml:space="preserve">        28/29</t>
  </si>
  <si>
    <t>APPROVAL YEAR</t>
  </si>
  <si>
    <t xml:space="preserve">CUMULATIVE NO. OF MONTHS AFTER APPROVAL </t>
  </si>
  <si>
    <t>PERCENTAGE OF CASHFLOW (CUMULATIVE)</t>
  </si>
  <si>
    <t>PERCENTAGE OF CASHFLOW</t>
  </si>
  <si>
    <t>CASH FLOW (CUMULATIVE)</t>
  </si>
  <si>
    <t>CASHFLOW</t>
  </si>
  <si>
    <t>Month after sanction</t>
  </si>
  <si>
    <t>Percentage of project duration</t>
  </si>
  <si>
    <t>% Cashflow (cumulative)</t>
  </si>
  <si>
    <t>% Cashflow</t>
  </si>
  <si>
    <t>Cashflow per
month</t>
  </si>
  <si>
    <t>Cumulative
monthly
Cashflow</t>
  </si>
  <si>
    <t>Equation</t>
  </si>
  <si>
    <t>y=(a+cx+ex2+gx3+ix4)/(1+bx+dx2+fx3+hx4+jx5)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</si>
  <si>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</si>
  <si>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</si>
  <si>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</si>
  <si>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</si>
  <si>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</si>
  <si>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</si>
  <si>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</si>
  <si>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</si>
  <si>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</si>
  <si>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</si>
  <si>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% PROJECT DURATION</t>
  </si>
  <si>
    <t>PERCENT CASHFLOW (CUM) - CALCULATED  VALUES</t>
  </si>
  <si>
    <t>PERCENT CASHFLOW (CUM) - REAL VALUES</t>
  </si>
  <si>
    <r>
      <t xml:space="preserve">Enter values in the </t>
    </r>
    <r>
      <rPr>
        <b/>
        <i/>
        <sz val="10"/>
        <rFont val="Arial"/>
        <family val="2"/>
      </rPr>
      <t xml:space="preserve">GREY </t>
    </r>
    <r>
      <rPr>
        <b/>
        <sz val="10"/>
        <rFont val="Arial"/>
        <family val="2"/>
      </rPr>
      <t>cells only</t>
    </r>
  </si>
  <si>
    <t>New Cashflow</t>
  </si>
  <si>
    <t>Oryx GTL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</si>
</sst>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_)"/>
    <numFmt numFmtId="165" formatCode="0.0"/>
    <numFmt numFmtId="166" formatCode="0.00_)"/>
    <numFmt numFmtId="167" formatCode="#,##0.000"/>
    <numFmt numFmtId="168" formatCode="[$-409]mmm/yy;@"/>
    <numFmt numFmtId="169" formatCode="_(* #,##0.00000000_);_(* \(#,##0.00000000\);_(* &quot;-&quot;??_);_(@_)"/>
  </numFmts>
  <fonts count="13" x14ac:knownFonts="1">
    <font>
      <sz val="10"/>
      <name val="Arial"/>
    </font>
    <font>
      <sz val="10"/>
      <name val="Arial"/>
    </font>
    <font>
      <sz val="10"/>
      <name val="Courier"/>
      <family val="1"/>
    </font>
    <font>
      <b/>
      <i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color indexed="8"/>
      <name val="HLV"/>
    </font>
    <font>
      <sz val="12"/>
      <color indexed="8"/>
      <name val="HLV"/>
    </font>
    <font>
      <sz val="8"/>
      <color indexed="8"/>
      <name val="HLV"/>
    </font>
    <font>
      <b/>
      <sz val="12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85">
    <xf numFmtId="0" fontId="0" fillId="0" borderId="0" xfId="0"/>
    <xf numFmtId="0" fontId="4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0" fontId="5" fillId="0" borderId="1" xfId="0" applyFont="1" applyFill="1" applyBorder="1" applyProtection="1">
      <protection hidden="1"/>
    </xf>
    <xf numFmtId="15" fontId="6" fillId="2" borderId="2" xfId="0" applyNumberFormat="1" applyFont="1" applyFill="1" applyBorder="1" applyProtection="1">
      <protection locked="0" hidden="1"/>
    </xf>
    <xf numFmtId="0" fontId="6" fillId="0" borderId="0" xfId="0" applyFont="1" applyFill="1" applyProtection="1">
      <protection hidden="1"/>
    </xf>
    <xf numFmtId="0" fontId="5" fillId="0" borderId="1" xfId="0" applyFont="1" applyFill="1" applyBorder="1" applyAlignment="1" applyProtection="1">
      <alignment wrapText="1"/>
      <protection hidden="1"/>
    </xf>
    <xf numFmtId="1" fontId="6" fillId="0" borderId="3" xfId="0" applyNumberFormat="1" applyFont="1" applyFill="1" applyBorder="1" applyProtection="1">
      <protection locked="0" hidden="1"/>
    </xf>
    <xf numFmtId="0" fontId="5" fillId="0" borderId="0" xfId="0" applyFont="1" applyFill="1" applyProtection="1">
      <protection hidden="1"/>
    </xf>
    <xf numFmtId="0" fontId="6" fillId="0" borderId="4" xfId="0" applyFont="1" applyFill="1" applyBorder="1" applyAlignment="1" applyProtection="1">
      <alignment horizontal="center"/>
      <protection hidden="1"/>
    </xf>
    <xf numFmtId="0" fontId="6" fillId="0" borderId="5" xfId="0" applyFont="1" applyFill="1" applyBorder="1" applyAlignment="1" applyProtection="1">
      <alignment horizontal="center"/>
      <protection hidden="1"/>
    </xf>
    <xf numFmtId="0" fontId="6" fillId="0" borderId="6" xfId="0" applyFont="1" applyFill="1" applyBorder="1" applyAlignment="1" applyProtection="1">
      <alignment horizontal="center"/>
      <protection hidden="1"/>
    </xf>
    <xf numFmtId="164" fontId="7" fillId="0" borderId="7" xfId="0" quotePrefix="1" applyNumberFormat="1" applyFont="1" applyFill="1" applyBorder="1" applyAlignment="1" applyProtection="1">
      <alignment horizontal="center"/>
      <protection hidden="1"/>
    </xf>
    <xf numFmtId="164" fontId="7" fillId="0" borderId="8" xfId="0" applyNumberFormat="1" applyFont="1" applyFill="1" applyBorder="1" applyAlignment="1" applyProtection="1">
      <alignment horizontal="center"/>
      <protection hidden="1"/>
    </xf>
    <xf numFmtId="164" fontId="7" fillId="0" borderId="8" xfId="0" quotePrefix="1" applyNumberFormat="1" applyFont="1" applyFill="1" applyBorder="1" applyAlignment="1" applyProtection="1">
      <alignment horizontal="center"/>
      <protection hidden="1"/>
    </xf>
    <xf numFmtId="164" fontId="7" fillId="0" borderId="9" xfId="0" quotePrefix="1" applyNumberFormat="1" applyFont="1" applyFill="1" applyBorder="1" applyAlignment="1" applyProtection="1">
      <alignment horizontal="center"/>
      <protection hidden="1"/>
    </xf>
    <xf numFmtId="0" fontId="8" fillId="0" borderId="7" xfId="0" applyFont="1" applyFill="1" applyBorder="1" applyAlignment="1" applyProtection="1">
      <alignment horizontal="left" wrapText="1"/>
      <protection hidden="1"/>
    </xf>
    <xf numFmtId="1" fontId="6" fillId="0" borderId="8" xfId="0" applyNumberFormat="1" applyFont="1" applyFill="1" applyBorder="1" applyAlignment="1" applyProtection="1">
      <alignment horizontal="center"/>
      <protection hidden="1"/>
    </xf>
    <xf numFmtId="1" fontId="6" fillId="0" borderId="9" xfId="0" applyNumberFormat="1" applyFont="1" applyFill="1" applyBorder="1" applyAlignment="1" applyProtection="1">
      <alignment horizontal="center"/>
      <protection hidden="1"/>
    </xf>
    <xf numFmtId="0" fontId="0" fillId="0" borderId="8" xfId="0" applyFill="1" applyBorder="1" applyAlignment="1" applyProtection="1">
      <alignment horizontal="center"/>
      <protection hidden="1"/>
    </xf>
    <xf numFmtId="0" fontId="0" fillId="0" borderId="9" xfId="0" applyFill="1" applyBorder="1" applyAlignment="1" applyProtection="1">
      <alignment horizontal="center"/>
      <protection hidden="1"/>
    </xf>
    <xf numFmtId="0" fontId="8" fillId="0" borderId="10" xfId="0" applyFont="1" applyFill="1" applyBorder="1" applyAlignment="1" applyProtection="1">
      <alignment horizontal="left" wrapText="1"/>
      <protection hidden="1"/>
    </xf>
    <xf numFmtId="166" fontId="6" fillId="0" borderId="8" xfId="0" applyNumberFormat="1" applyFont="1" applyFill="1" applyBorder="1" applyAlignment="1" applyProtection="1">
      <alignment horizontal="center"/>
      <protection hidden="1"/>
    </xf>
    <xf numFmtId="166" fontId="6" fillId="0" borderId="9" xfId="0" applyNumberFormat="1" applyFont="1" applyFill="1" applyBorder="1" applyAlignment="1" applyProtection="1">
      <alignment horizontal="center"/>
      <protection hidden="1"/>
    </xf>
    <xf numFmtId="164" fontId="6" fillId="0" borderId="0" xfId="0" applyNumberFormat="1" applyFont="1" applyFill="1" applyBorder="1" applyAlignment="1" applyProtection="1">
      <alignment horizontal="center"/>
      <protection hidden="1"/>
    </xf>
    <xf numFmtId="0" fontId="8" fillId="0" borderId="11" xfId="0" applyFont="1" applyFill="1" applyBorder="1" applyAlignment="1" applyProtection="1">
      <alignment horizontal="left"/>
      <protection hidden="1"/>
    </xf>
    <xf numFmtId="166" fontId="6" fillId="0" borderId="12" xfId="0" applyNumberFormat="1" applyFont="1" applyFill="1" applyBorder="1" applyAlignment="1" applyProtection="1">
      <alignment horizontal="center"/>
      <protection hidden="1"/>
    </xf>
    <xf numFmtId="166" fontId="6" fillId="0" borderId="13" xfId="0" applyNumberFormat="1" applyFont="1" applyFill="1" applyBorder="1" applyAlignment="1" applyProtection="1">
      <alignment horizontal="center"/>
      <protection hidden="1"/>
    </xf>
    <xf numFmtId="0" fontId="8" fillId="0" borderId="0" xfId="0" applyFont="1" applyFill="1" applyBorder="1" applyAlignment="1" applyProtection="1">
      <alignment horizontal="center"/>
      <protection hidden="1"/>
    </xf>
    <xf numFmtId="168" fontId="0" fillId="0" borderId="0" xfId="0" applyNumberFormat="1" applyFill="1" applyProtection="1">
      <protection hidden="1"/>
    </xf>
    <xf numFmtId="0" fontId="0" fillId="0" borderId="4" xfId="0" applyFill="1" applyBorder="1" applyAlignment="1" applyProtection="1">
      <alignment horizontal="center" wrapText="1"/>
      <protection hidden="1"/>
    </xf>
    <xf numFmtId="0" fontId="0" fillId="0" borderId="5" xfId="0" applyFill="1" applyBorder="1" applyAlignment="1" applyProtection="1">
      <alignment wrapText="1"/>
      <protection hidden="1"/>
    </xf>
    <xf numFmtId="0" fontId="0" fillId="0" borderId="14" xfId="0" applyFill="1" applyBorder="1" applyProtection="1">
      <protection hidden="1"/>
    </xf>
    <xf numFmtId="0" fontId="0" fillId="0" borderId="15" xfId="0" applyFill="1" applyBorder="1" applyAlignment="1" applyProtection="1">
      <alignment wrapText="1"/>
      <protection hidden="1"/>
    </xf>
    <xf numFmtId="0" fontId="0" fillId="0" borderId="16" xfId="0" applyFill="1" applyBorder="1" applyAlignment="1" applyProtection="1">
      <alignment wrapText="1"/>
      <protection hidden="1"/>
    </xf>
    <xf numFmtId="0" fontId="0" fillId="0" borderId="7" xfId="0" applyFill="1" applyBorder="1" applyAlignment="1" applyProtection="1">
      <alignment horizontal="center"/>
      <protection hidden="1"/>
    </xf>
    <xf numFmtId="2" fontId="0" fillId="0" borderId="8" xfId="0" applyNumberFormat="1" applyFill="1" applyBorder="1" applyAlignment="1" applyProtection="1">
      <alignment horizontal="center"/>
      <protection hidden="1"/>
    </xf>
    <xf numFmtId="2" fontId="6" fillId="0" borderId="8" xfId="2" applyNumberFormat="1" applyFont="1" applyFill="1" applyBorder="1" applyProtection="1">
      <protection hidden="1"/>
    </xf>
    <xf numFmtId="2" fontId="0" fillId="0" borderId="17" xfId="0" applyNumberFormat="1" applyFill="1" applyBorder="1" applyProtection="1">
      <protection hidden="1"/>
    </xf>
    <xf numFmtId="167" fontId="0" fillId="0" borderId="8" xfId="0" applyNumberFormat="1" applyFill="1" applyBorder="1" applyProtection="1">
      <protection hidden="1"/>
    </xf>
    <xf numFmtId="167" fontId="9" fillId="0" borderId="18" xfId="0" applyNumberFormat="1" applyFont="1" applyFill="1" applyBorder="1" applyAlignment="1" applyProtection="1">
      <protection hidden="1"/>
    </xf>
    <xf numFmtId="0" fontId="0" fillId="0" borderId="0" xfId="0" applyFill="1" applyBorder="1" applyAlignment="1" applyProtection="1">
      <protection hidden="1"/>
    </xf>
    <xf numFmtId="165" fontId="10" fillId="0" borderId="0" xfId="0" applyNumberFormat="1" applyFont="1" applyFill="1" applyBorder="1" applyAlignment="1" applyProtection="1">
      <protection hidden="1"/>
    </xf>
    <xf numFmtId="0" fontId="0" fillId="0" borderId="0" xfId="0" applyFont="1" applyFill="1" applyBorder="1" applyAlignment="1" applyProtection="1">
      <protection hidden="1"/>
    </xf>
    <xf numFmtId="0" fontId="10" fillId="0" borderId="0" xfId="0" applyFont="1" applyFill="1" applyBorder="1" applyAlignment="1" applyProtection="1">
      <protection hidden="1"/>
    </xf>
    <xf numFmtId="0" fontId="0" fillId="0" borderId="0" xfId="0" applyFill="1" applyBorder="1" applyProtection="1">
      <protection hidden="1"/>
    </xf>
    <xf numFmtId="0" fontId="0" fillId="0" borderId="11" xfId="0" applyFill="1" applyBorder="1" applyAlignment="1" applyProtection="1">
      <alignment horizontal="center"/>
      <protection hidden="1"/>
    </xf>
    <xf numFmtId="2" fontId="0" fillId="0" borderId="12" xfId="0" applyNumberFormat="1" applyFill="1" applyBorder="1" applyAlignment="1" applyProtection="1">
      <alignment horizontal="center"/>
      <protection hidden="1"/>
    </xf>
    <xf numFmtId="2" fontId="6" fillId="0" borderId="12" xfId="2" applyNumberFormat="1" applyFont="1" applyFill="1" applyBorder="1" applyProtection="1">
      <protection hidden="1"/>
    </xf>
    <xf numFmtId="167" fontId="0" fillId="0" borderId="12" xfId="0" applyNumberFormat="1" applyFill="1" applyBorder="1" applyProtection="1">
      <protection hidden="1"/>
    </xf>
    <xf numFmtId="0" fontId="6" fillId="0" borderId="0" xfId="2" applyFont="1" applyProtection="1"/>
    <xf numFmtId="0" fontId="6" fillId="0" borderId="0" xfId="2" applyFont="1"/>
    <xf numFmtId="0" fontId="2" fillId="0" borderId="0" xfId="2"/>
    <xf numFmtId="0" fontId="6" fillId="0" borderId="4" xfId="2" applyFont="1" applyBorder="1" applyProtection="1"/>
    <xf numFmtId="0" fontId="6" fillId="0" borderId="6" xfId="2" applyFont="1" applyBorder="1" applyProtection="1"/>
    <xf numFmtId="0" fontId="6" fillId="0" borderId="7" xfId="2" applyFont="1" applyBorder="1" applyProtection="1"/>
    <xf numFmtId="0" fontId="6" fillId="0" borderId="9" xfId="2" applyFont="1" applyBorder="1" applyProtection="1"/>
    <xf numFmtId="0" fontId="6" fillId="0" borderId="11" xfId="2" applyFont="1" applyBorder="1" applyProtection="1"/>
    <xf numFmtId="0" fontId="6" fillId="0" borderId="13" xfId="2" applyFont="1" applyBorder="1" applyProtection="1"/>
    <xf numFmtId="0" fontId="11" fillId="3" borderId="19" xfId="0" applyFont="1" applyFill="1" applyBorder="1" applyAlignment="1">
      <alignment wrapText="1"/>
    </xf>
    <xf numFmtId="0" fontId="11" fillId="3" borderId="20" xfId="0" applyFont="1" applyFill="1" applyBorder="1" applyAlignment="1">
      <alignment wrapText="1"/>
    </xf>
    <xf numFmtId="0" fontId="11" fillId="3" borderId="21" xfId="0" applyFont="1" applyFill="1" applyBorder="1" applyAlignment="1">
      <alignment wrapText="1"/>
    </xf>
    <xf numFmtId="0" fontId="0" fillId="3" borderId="22" xfId="0" applyFill="1" applyBorder="1" applyAlignment="1"/>
    <xf numFmtId="0" fontId="10" fillId="3" borderId="23" xfId="0" applyFont="1" applyFill="1" applyBorder="1" applyAlignment="1"/>
    <xf numFmtId="0" fontId="0" fillId="0" borderId="24" xfId="0" applyFont="1" applyBorder="1" applyAlignment="1"/>
    <xf numFmtId="0" fontId="10" fillId="3" borderId="25" xfId="0" applyFont="1" applyFill="1" applyBorder="1" applyAlignment="1"/>
    <xf numFmtId="0" fontId="10" fillId="3" borderId="0" xfId="0" applyFont="1" applyFill="1" applyAlignment="1"/>
    <xf numFmtId="0" fontId="0" fillId="0" borderId="23" xfId="0" applyBorder="1"/>
    <xf numFmtId="2" fontId="0" fillId="0" borderId="24" xfId="0" applyNumberFormat="1" applyBorder="1"/>
    <xf numFmtId="165" fontId="10" fillId="3" borderId="25" xfId="0" applyNumberFormat="1" applyFont="1" applyFill="1" applyBorder="1" applyAlignment="1"/>
    <xf numFmtId="0" fontId="0" fillId="0" borderId="26" xfId="0" applyBorder="1"/>
    <xf numFmtId="0" fontId="0" fillId="0" borderId="27" xfId="0" applyBorder="1"/>
    <xf numFmtId="0" fontId="10" fillId="3" borderId="28" xfId="0" applyFont="1" applyFill="1" applyBorder="1" applyAlignment="1"/>
    <xf numFmtId="0" fontId="0" fillId="0" borderId="0" xfId="0" applyFill="1" applyBorder="1"/>
    <xf numFmtId="2" fontId="0" fillId="0" borderId="0" xfId="0" applyNumberFormat="1"/>
    <xf numFmtId="167" fontId="9" fillId="0" borderId="9" xfId="0" applyNumberFormat="1" applyFont="1" applyFill="1" applyBorder="1" applyAlignment="1" applyProtection="1">
      <protection hidden="1"/>
    </xf>
    <xf numFmtId="167" fontId="9" fillId="0" borderId="13" xfId="0" applyNumberFormat="1" applyFont="1" applyFill="1" applyBorder="1" applyAlignment="1" applyProtection="1">
      <protection hidden="1"/>
    </xf>
    <xf numFmtId="3" fontId="12" fillId="0" borderId="29" xfId="0" applyNumberFormat="1" applyFont="1" applyBorder="1"/>
    <xf numFmtId="2" fontId="0" fillId="0" borderId="8" xfId="0" applyNumberFormat="1" applyFill="1" applyBorder="1" applyProtection="1">
      <protection hidden="1"/>
    </xf>
    <xf numFmtId="2" fontId="0" fillId="0" borderId="12" xfId="0" applyNumberFormat="1" applyFill="1" applyBorder="1" applyProtection="1">
      <protection hidden="1"/>
    </xf>
    <xf numFmtId="43" fontId="0" fillId="0" borderId="0" xfId="1" applyFont="1"/>
    <xf numFmtId="169" fontId="0" fillId="0" borderId="0" xfId="0" applyNumberFormat="1"/>
    <xf numFmtId="15" fontId="6" fillId="2" borderId="3" xfId="0" applyNumberFormat="1" applyFont="1" applyFill="1" applyBorder="1" applyProtection="1">
      <protection hidden="1"/>
    </xf>
    <xf numFmtId="0" fontId="0" fillId="2" borderId="30" xfId="0" applyFill="1" applyBorder="1" applyAlignment="1" applyProtection="1">
      <alignment horizontal="left"/>
      <protection locked="0"/>
    </xf>
    <xf numFmtId="0" fontId="0" fillId="2" borderId="31" xfId="0" applyFill="1" applyBorder="1" applyAlignment="1" applyProtection="1">
      <alignment horizontal="left"/>
      <protection locked="0"/>
    </xf>
  </cellXfs>
  <cellStyles count="3">
    <cellStyle name="Comma" xfId="1" builtinId="3"/>
    <cellStyle name="Normal" xfId="0" builtinId="0"/>
    <cellStyle name="Normal_CAPITAL SCHEDULING CURVES" xfId="2" xr:uid="{37F8205D-F4B6-4187-8A77-0BD3577048A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calcChain" Target="calcChain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CAPITAL SCHEDULING</a:t>
            </a:r>
          </a:p>
        </c:rich>
      </c:tx>
      <c:layout>
        <c:manualLayout>
          <c:xMode val="edge"/>
          <c:yMode val="edge"/>
          <c:x val="0.40510539515893851"/>
          <c:y val="1.95758363914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395116537180909E-2"/>
          <c:y val="0.125"/>
          <c:w val="0.91009988901220862"/>
          <c:h val="0.7685810810810810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'[1]Dolphin Onshore'!$B$20:$B$145</c:f>
              <c:strCache>
                <c:ptCount val="1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39.464476386037</c:v>
                </c:pt>
                <c:pt idx="41">
                  <c:v>39.464476386037</c:v>
                </c:pt>
                <c:pt idx="42">
                  <c:v>39.464476386037</c:v>
                </c:pt>
                <c:pt idx="43">
                  <c:v>39.464476386037</c:v>
                </c:pt>
                <c:pt idx="44">
                  <c:v>39.464476386037</c:v>
                </c:pt>
                <c:pt idx="45">
                  <c:v>39.464476386037</c:v>
                </c:pt>
                <c:pt idx="46">
                  <c:v>39.464476386037</c:v>
                </c:pt>
                <c:pt idx="47">
                  <c:v>39.464476386037</c:v>
                </c:pt>
                <c:pt idx="48">
                  <c:v>39.464476386037</c:v>
                </c:pt>
                <c:pt idx="49">
                  <c:v>39.464476386037</c:v>
                </c:pt>
                <c:pt idx="50">
                  <c:v>39.464476386037</c:v>
                </c:pt>
                <c:pt idx="51">
                  <c:v>39.464476386037</c:v>
                </c:pt>
                <c:pt idx="52">
                  <c:v>39.464476386037</c:v>
                </c:pt>
                <c:pt idx="53">
                  <c:v>39.464476386037</c:v>
                </c:pt>
                <c:pt idx="54">
                  <c:v>39.464476386037</c:v>
                </c:pt>
                <c:pt idx="55">
                  <c:v>39.464476386037</c:v>
                </c:pt>
                <c:pt idx="56">
                  <c:v>39.464476386037</c:v>
                </c:pt>
                <c:pt idx="57">
                  <c:v>39.464476386037</c:v>
                </c:pt>
                <c:pt idx="58">
                  <c:v>39.464476386037</c:v>
                </c:pt>
                <c:pt idx="59">
                  <c:v>39.464476386037</c:v>
                </c:pt>
                <c:pt idx="60">
                  <c:v>39.464476386037</c:v>
                </c:pt>
                <c:pt idx="61">
                  <c:v>39.464476386037</c:v>
                </c:pt>
                <c:pt idx="62">
                  <c:v>39.464476386037</c:v>
                </c:pt>
                <c:pt idx="63">
                  <c:v>39.464476386037</c:v>
                </c:pt>
                <c:pt idx="64">
                  <c:v>39.464476386037</c:v>
                </c:pt>
                <c:pt idx="65">
                  <c:v>39.464476386037</c:v>
                </c:pt>
                <c:pt idx="66">
                  <c:v>39.464476386037</c:v>
                </c:pt>
                <c:pt idx="67">
                  <c:v>39.464476386037</c:v>
                </c:pt>
                <c:pt idx="68">
                  <c:v>39.464476386037</c:v>
                </c:pt>
                <c:pt idx="69">
                  <c:v>39.464476386037</c:v>
                </c:pt>
                <c:pt idx="70">
                  <c:v>39.464476386037</c:v>
                </c:pt>
                <c:pt idx="71">
                  <c:v>39.464476386037</c:v>
                </c:pt>
                <c:pt idx="72">
                  <c:v>39.464476386037</c:v>
                </c:pt>
                <c:pt idx="73">
                  <c:v>39.464476386037</c:v>
                </c:pt>
                <c:pt idx="74">
                  <c:v>39.464476386037</c:v>
                </c:pt>
                <c:pt idx="75">
                  <c:v>39.464476386037</c:v>
                </c:pt>
                <c:pt idx="76">
                  <c:v>39.464476386037</c:v>
                </c:pt>
                <c:pt idx="77">
                  <c:v>39.464476386037</c:v>
                </c:pt>
                <c:pt idx="78">
                  <c:v>39.464476386037</c:v>
                </c:pt>
                <c:pt idx="79">
                  <c:v>39.464476386037</c:v>
                </c:pt>
                <c:pt idx="80">
                  <c:v>39.464476386037</c:v>
                </c:pt>
                <c:pt idx="81">
                  <c:v>39.464476386037</c:v>
                </c:pt>
                <c:pt idx="82">
                  <c:v>39.464476386037</c:v>
                </c:pt>
                <c:pt idx="83">
                  <c:v>39.464476386037</c:v>
                </c:pt>
                <c:pt idx="84">
                  <c:v>39.464476386037</c:v>
                </c:pt>
                <c:pt idx="85">
                  <c:v>39.464476386037</c:v>
                </c:pt>
                <c:pt idx="86">
                  <c:v>39.464476386037</c:v>
                </c:pt>
                <c:pt idx="87">
                  <c:v>39.464476386037</c:v>
                </c:pt>
                <c:pt idx="88">
                  <c:v>39.464476386037</c:v>
                </c:pt>
                <c:pt idx="89">
                  <c:v>39.464476386037</c:v>
                </c:pt>
                <c:pt idx="90">
                  <c:v>39.464476386037</c:v>
                </c:pt>
                <c:pt idx="91">
                  <c:v>39.464476386037</c:v>
                </c:pt>
                <c:pt idx="92">
                  <c:v>39.464476386037</c:v>
                </c:pt>
                <c:pt idx="93">
                  <c:v>39.464476386037</c:v>
                </c:pt>
                <c:pt idx="94">
                  <c:v>39.464476386037</c:v>
                </c:pt>
                <c:pt idx="95">
                  <c:v>39.464476386037</c:v>
                </c:pt>
                <c:pt idx="96">
                  <c:v>39.464476386037</c:v>
                </c:pt>
                <c:pt idx="97">
                  <c:v>39.464476386037</c:v>
                </c:pt>
                <c:pt idx="98">
                  <c:v>39.464476386037</c:v>
                </c:pt>
                <c:pt idx="99">
                  <c:v>39.464476386037</c:v>
                </c:pt>
                <c:pt idx="100">
                  <c:v>39.464476386037</c:v>
                </c:pt>
                <c:pt idx="101">
                  <c:v>39.464476386037</c:v>
                </c:pt>
                <c:pt idx="102">
                  <c:v>39.464476386037</c:v>
                </c:pt>
                <c:pt idx="103">
                  <c:v>39.464476386037</c:v>
                </c:pt>
                <c:pt idx="104">
                  <c:v>39.464476386037</c:v>
                </c:pt>
                <c:pt idx="105">
                  <c:v>39.464476386037</c:v>
                </c:pt>
                <c:pt idx="106">
                  <c:v>39.464476386037</c:v>
                </c:pt>
                <c:pt idx="107">
                  <c:v>39.464476386037</c:v>
                </c:pt>
                <c:pt idx="108">
                  <c:v>39.464476386037</c:v>
                </c:pt>
                <c:pt idx="109">
                  <c:v>39.464476386037</c:v>
                </c:pt>
                <c:pt idx="110">
                  <c:v>39.464476386037</c:v>
                </c:pt>
                <c:pt idx="111">
                  <c:v>39.464476386037</c:v>
                </c:pt>
                <c:pt idx="112">
                  <c:v>39.464476386037</c:v>
                </c:pt>
                <c:pt idx="113">
                  <c:v>39.464476386037</c:v>
                </c:pt>
                <c:pt idx="114">
                  <c:v>39.464476386037</c:v>
                </c:pt>
                <c:pt idx="115">
                  <c:v>39.464476386037</c:v>
                </c:pt>
                <c:pt idx="116">
                  <c:v>39.464476386037</c:v>
                </c:pt>
                <c:pt idx="117">
                  <c:v>39.464476386037</c:v>
                </c:pt>
                <c:pt idx="118">
                  <c:v>39.464476386037</c:v>
                </c:pt>
                <c:pt idx="119">
                  <c:v>39.464476386037</c:v>
                </c:pt>
                <c:pt idx="120">
                  <c:v>39.464476386037</c:v>
                </c:pt>
                <c:pt idx="121">
                  <c:v>39.464476386037</c:v>
                </c:pt>
                <c:pt idx="122">
                  <c:v>39.464476386037</c:v>
                </c:pt>
                <c:pt idx="123">
                  <c:v>39.464476386037</c:v>
                </c:pt>
                <c:pt idx="124">
                  <c:v>39.464476386037</c:v>
                </c:pt>
                <c:pt idx="125">
                  <c:v>39.464476386037</c:v>
                </c:pt>
              </c:strCache>
            </c:strRef>
          </c:cat>
          <c:val>
            <c:numRef>
              <c:f>'[1]Dolphin Onshore'!$D$20:$D$145</c:f>
              <c:numCache>
                <c:formatCode>General</c:formatCode>
                <c:ptCount val="126"/>
                <c:pt idx="0">
                  <c:v>0</c:v>
                </c:pt>
                <c:pt idx="1">
                  <c:v>0.89540691928478322</c:v>
                </c:pt>
                <c:pt idx="2">
                  <c:v>1.1116793289556401</c:v>
                </c:pt>
                <c:pt idx="3">
                  <c:v>1.3591259126091431</c:v>
                </c:pt>
                <c:pt idx="4">
                  <c:v>1.6408143556570203</c:v>
                </c:pt>
                <c:pt idx="5">
                  <c:v>1.9595782245494842</c:v>
                </c:pt>
                <c:pt idx="6">
                  <c:v>2.3177772785991246</c:v>
                </c:pt>
                <c:pt idx="7">
                  <c:v>2.7171330803010711</c:v>
                </c:pt>
                <c:pt idx="8">
                  <c:v>3.1590380933161453</c:v>
                </c:pt>
                <c:pt idx="9">
                  <c:v>3.6465072376292174</c:v>
                </c:pt>
                <c:pt idx="10">
                  <c:v>4.1909287249639045</c:v>
                </c:pt>
                <c:pt idx="11">
                  <c:v>4.8313404116945424</c:v>
                </c:pt>
                <c:pt idx="12">
                  <c:v>5.6814297411178281</c:v>
                </c:pt>
                <c:pt idx="13">
                  <c:v>7.0161387440627481</c:v>
                </c:pt>
                <c:pt idx="14">
                  <c:v>9.3304162667960675</c:v>
                </c:pt>
                <c:pt idx="15">
                  <c:v>13.101693512002521</c:v>
                </c:pt>
                <c:pt idx="16">
                  <c:v>18.19364915001556</c:v>
                </c:pt>
                <c:pt idx="17">
                  <c:v>23.837029959621209</c:v>
                </c:pt>
                <c:pt idx="18">
                  <c:v>29.441241348947329</c:v>
                </c:pt>
                <c:pt idx="19">
                  <c:v>34.925300166998156</c:v>
                </c:pt>
                <c:pt idx="20">
                  <c:v>40.438420003463051</c:v>
                </c:pt>
                <c:pt idx="21">
                  <c:v>46.117302025355706</c:v>
                </c:pt>
                <c:pt idx="22">
                  <c:v>52.012208729737146</c:v>
                </c:pt>
                <c:pt idx="23">
                  <c:v>58.085495620362238</c:v>
                </c:pt>
                <c:pt idx="24">
                  <c:v>64.227387443718683</c:v>
                </c:pt>
                <c:pt idx="25">
                  <c:v>70.276265936202762</c:v>
                </c:pt>
                <c:pt idx="26">
                  <c:v>76.043112998516364</c:v>
                </c:pt>
                <c:pt idx="27">
                  <c:v>81.339545941272334</c:v>
                </c:pt>
                <c:pt idx="28">
                  <c:v>86.005850718079316</c:v>
                </c:pt>
                <c:pt idx="29">
                  <c:v>89.93351515980622</c:v>
                </c:pt>
                <c:pt idx="30">
                  <c:v>93.077479858231882</c:v>
                </c:pt>
                <c:pt idx="31">
                  <c:v>95.456325909560675</c:v>
                </c:pt>
                <c:pt idx="32">
                  <c:v>97.142246134535355</c:v>
                </c:pt>
                <c:pt idx="33">
                  <c:v>98.245100115177308</c:v>
                </c:pt>
                <c:pt idx="34">
                  <c:v>98.895313802880125</c:v>
                </c:pt>
                <c:pt idx="35">
                  <c:v>99.229232463982456</c:v>
                </c:pt>
                <c:pt idx="36">
                  <c:v>99.378752602585294</c:v>
                </c:pt>
                <c:pt idx="37">
                  <c:v>99.465501032595284</c:v>
                </c:pt>
                <c:pt idx="38">
                  <c:v>99.598890466545114</c:v>
                </c:pt>
                <c:pt idx="39">
                  <c:v>99.877049777292129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2B-47FD-89B2-93DE32D2B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238975"/>
        <c:axId val="1"/>
      </c:lineChart>
      <c:catAx>
        <c:axId val="52123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MONTHS</a:t>
                </a:r>
              </a:p>
            </c:rich>
          </c:tx>
          <c:layout>
            <c:manualLayout>
              <c:xMode val="edge"/>
              <c:yMode val="edge"/>
              <c:x val="0.50055491396908713"/>
              <c:y val="0.946166316314533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OF CAPITAL (CUMULATIVE)</a:t>
                </a:r>
              </a:p>
            </c:rich>
          </c:tx>
          <c:layout>
            <c:manualLayout>
              <c:xMode val="edge"/>
              <c:yMode val="edge"/>
              <c:x val="1.2208690580344123E-2"/>
              <c:y val="0.37194124772864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123897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COMPARISON OF CALCULATED DATA TO ACTUAL DATA</a:t>
            </a:r>
          </a:p>
        </c:rich>
      </c:tx>
      <c:layout>
        <c:manualLayout>
          <c:xMode val="edge"/>
          <c:yMode val="edge"/>
          <c:x val="0.27192006516426825"/>
          <c:y val="1.95758363914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251942286348501E-2"/>
          <c:y val="0.125"/>
          <c:w val="0.58379578246392894"/>
          <c:h val="0.75168918918918914"/>
        </c:manualLayout>
      </c:layout>
      <c:lineChart>
        <c:grouping val="standard"/>
        <c:varyColors val="0"/>
        <c:ser>
          <c:idx val="0"/>
          <c:order val="0"/>
          <c:tx>
            <c:strRef>
              <c:f>'REAL DATA vs ACTUAL DATA'!$C$1</c:f>
              <c:strCache>
                <c:ptCount val="1"/>
                <c:pt idx="0">
                  <c:v>PERCENT CASHFLOW (CUM) - CALCULATED  VALUES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'REAL DATA vs ACTUAL DATA'!$B$3:$B$26</c:f>
              <c:numCache>
                <c:formatCode>General</c:formatCode>
                <c:ptCount val="24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</c:numCache>
            </c:numRef>
          </c:cat>
          <c:val>
            <c:numRef>
              <c:f>'REAL DATA vs ACTUAL DATA'!$C$3:$C$26</c:f>
              <c:numCache>
                <c:formatCode>0.00</c:formatCode>
                <c:ptCount val="24"/>
                <c:pt idx="0" formatCode="General">
                  <c:v>0</c:v>
                </c:pt>
                <c:pt idx="1">
                  <c:v>1.4368038944899353</c:v>
                </c:pt>
                <c:pt idx="2">
                  <c:v>1.9370314061883989</c:v>
                </c:pt>
                <c:pt idx="3">
                  <c:v>2.5432628187818356</c:v>
                </c:pt>
                <c:pt idx="4">
                  <c:v>3.2630177829480869</c:v>
                </c:pt>
                <c:pt idx="5">
                  <c:v>4.1138087085984987</c:v>
                </c:pt>
                <c:pt idx="6">
                  <c:v>5.2268024974970775</c:v>
                </c:pt>
                <c:pt idx="7">
                  <c:v>7.2955775674692633</c:v>
                </c:pt>
                <c:pt idx="8">
                  <c:v>12.221178300747875</c:v>
                </c:pt>
                <c:pt idx="9">
                  <c:v>20.67633573958577</c:v>
                </c:pt>
                <c:pt idx="10">
                  <c:v>29.92645466257553</c:v>
                </c:pt>
                <c:pt idx="11">
                  <c:v>38.950255849477699</c:v>
                </c:pt>
                <c:pt idx="12">
                  <c:v>48.312157610384659</c:v>
                </c:pt>
                <c:pt idx="13">
                  <c:v>58.213921349920177</c:v>
                </c:pt>
                <c:pt idx="14">
                  <c:v>68.273463667797785</c:v>
                </c:pt>
                <c:pt idx="15">
                  <c:v>77.741694256325502</c:v>
                </c:pt>
                <c:pt idx="16">
                  <c:v>85.806823137131786</c:v>
                </c:pt>
                <c:pt idx="17">
                  <c:v>91.909061050955472</c:v>
                </c:pt>
                <c:pt idx="18">
                  <c:v>95.925513422674143</c:v>
                </c:pt>
                <c:pt idx="19">
                  <c:v>98.145743901405851</c:v>
                </c:pt>
                <c:pt idx="20">
                  <c:v>99.103567952966216</c:v>
                </c:pt>
                <c:pt idx="21">
                  <c:v>99.395281889471363</c:v>
                </c:pt>
                <c:pt idx="22">
                  <c:v>99.56693353211304</c:v>
                </c:pt>
                <c:pt idx="23" formatCode="General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D-4C2C-9BE5-4EC98C9271E5}"/>
            </c:ext>
          </c:extLst>
        </c:ser>
        <c:ser>
          <c:idx val="1"/>
          <c:order val="1"/>
          <c:tx>
            <c:strRef>
              <c:f>'REAL DATA vs ACTUAL DATA'!$D$1</c:f>
            </c:strRef>
          </c:tx>
          <c:cat>
            <c:numRef>
              <c:f>'REAL DATA vs ACTUAL DATA'!$B$3:$B$26</c:f>
              <c:numCache>
                <c:formatCode>General</c:formatCode>
                <c:ptCount val="24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</c:numCache>
            </c:numRef>
          </c:cat>
          <c:val>
            <c:numRef>
              <c:f>'REAL DATA vs ACTUAL DATA'!$D$3:$D$26</c:f>
            </c:numRef>
          </c:val>
          <c:smooth val="0"/>
          <c:extLst>
            <c:ext xmlns:c16="http://schemas.microsoft.com/office/drawing/2014/chart" uri="{C3380CC4-5D6E-409C-BE32-E72D297353CC}">
              <c16:uniqueId val="{00000001-092D-4C2C-9BE5-4EC98C9271E5}"/>
            </c:ext>
          </c:extLst>
        </c:ser>
        <c:ser>
          <c:idx val="2"/>
          <c:order val="2"/>
          <c:tx>
            <c:strRef>
              <c:f>'REAL DATA vs ACTUAL DATA'!$E$1</c:f>
              <c:strCache>
                <c:ptCount val="1"/>
                <c:pt idx="0">
                  <c:v>New Cashflow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'REAL DATA vs ACTUAL DATA'!$E$3:$E$26</c:f>
              <c:numCache>
                <c:formatCode>0.00</c:formatCode>
                <c:ptCount val="24"/>
                <c:pt idx="0">
                  <c:v>0</c:v>
                </c:pt>
                <c:pt idx="1">
                  <c:v>1.2413816459522242</c:v>
                </c:pt>
                <c:pt idx="2">
                  <c:v>1.987171752490861</c:v>
                </c:pt>
                <c:pt idx="3">
                  <c:v>2.9868065645625341</c:v>
                </c:pt>
                <c:pt idx="4">
                  <c:v>4.2866877746272305</c:v>
                </c:pt>
                <c:pt idx="5">
                  <c:v>6.5436162172042094</c:v>
                </c:pt>
                <c:pt idx="6">
                  <c:v>14.244537828052684</c:v>
                </c:pt>
                <c:pt idx="7">
                  <c:v>28.245514803772554</c:v>
                </c:pt>
                <c:pt idx="8">
                  <c:v>42.260820277691259</c:v>
                </c:pt>
                <c:pt idx="9">
                  <c:v>57.261491376047104</c:v>
                </c:pt>
                <c:pt idx="10">
                  <c:v>72.663120487861192</c:v>
                </c:pt>
                <c:pt idx="11">
                  <c:v>85.775075619039711</c:v>
                </c:pt>
                <c:pt idx="12">
                  <c:v>94.32890827722629</c:v>
                </c:pt>
                <c:pt idx="13">
                  <c:v>98.268763302196831</c:v>
                </c:pt>
                <c:pt idx="14">
                  <c:v>99.328781273928982</c:v>
                </c:pt>
                <c:pt idx="15">
                  <c:v>99.620539333806619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 formatCode="General">
                  <c:v>100</c:v>
                </c:pt>
                <c:pt idx="21" formatCode="General">
                  <c:v>100</c:v>
                </c:pt>
                <c:pt idx="22" formatCode="General">
                  <c:v>100</c:v>
                </c:pt>
                <c:pt idx="23" formatCode="General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D-4C2C-9BE5-4EC98C927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210175"/>
        <c:axId val="1"/>
      </c:lineChart>
      <c:catAx>
        <c:axId val="521210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MONTHS</a:t>
                </a:r>
              </a:p>
            </c:rich>
          </c:tx>
          <c:layout>
            <c:manualLayout>
              <c:xMode val="edge"/>
              <c:yMode val="edge"/>
              <c:x val="0.3351831658973663"/>
              <c:y val="0.946166316314533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CASHFLOW (CUMULATIVE)</a:t>
                </a:r>
              </a:p>
            </c:rich>
          </c:tx>
          <c:layout>
            <c:manualLayout>
              <c:xMode val="edge"/>
              <c:yMode val="edge"/>
              <c:x val="1.2208634265544393E-2"/>
              <c:y val="0.365415968931485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121017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4927857935627076"/>
          <c:y val="0.44237288135593222"/>
          <c:w val="0.35072142064372919"/>
          <c:h val="0.115254237288135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4C49D8-D8F0-4284-9F6F-EC31C7DA0694}">
  <sheetPr codeName="Chart3"/>
  <sheetViews>
    <sheetView zoomScale="66" workbookViewId="0"/>
  </sheetViews>
  <sheetProtection password="EA10" content="1" objects="1"/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39424D-9DA6-41B4-A6AE-021DDE1F4869}">
  <sheetPr codeName="Chart4"/>
  <sheetViews>
    <sheetView workbookViewId="0"/>
  </sheetViews>
  <pageMargins left="0.75" right="0.75" top="1" bottom="1" header="0.5" footer="0.5"/>
  <headerFooter alignWithMargins="0"/>
  <drawing r:id="rId1"/>
</chartsheet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123825</xdr:rowOff>
    </xdr:from>
    <xdr:to>
      <xdr:col>2</xdr:col>
      <xdr:colOff>304800</xdr:colOff>
      <xdr:row>1</xdr:row>
      <xdr:rowOff>123825</xdr:rowOff>
    </xdr:to>
    <xdr:sp macro="" textlink="">
      <xdr:nvSpPr>
        <xdr:cNvPr id="2000" name="Line 2">
          <a:extLst>
            <a:ext uri="{FF2B5EF4-FFF2-40B4-BE49-F238E27FC236}">
              <a16:creationId xmlns:a16="http://schemas.microsoft.com/office/drawing/2014/main" id="{06130783-F338-F497-301B-2143BE1346CA}"/>
            </a:ext>
          </a:extLst>
        </xdr:cNvPr>
        <xdr:cNvSpPr>
          <a:spLocks noChangeShapeType="1"/>
        </xdr:cNvSpPr>
      </xdr:nvSpPr>
      <xdr:spPr bwMode="auto">
        <a:xfrm>
          <a:off x="2238375" y="123825"/>
          <a:ext cx="3810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571500</xdr:colOff>
      <xdr:row>0</xdr:row>
      <xdr:rowOff>95250</xdr:rowOff>
    </xdr:from>
    <xdr:to>
      <xdr:col>7</xdr:col>
      <xdr:colOff>66675</xdr:colOff>
      <xdr:row>1</xdr:row>
      <xdr:rowOff>123825</xdr:rowOff>
    </xdr:to>
    <xdr:sp macro="" textlink="">
      <xdr:nvSpPr>
        <xdr:cNvPr id="2001" name="Line 3">
          <a:extLst>
            <a:ext uri="{FF2B5EF4-FFF2-40B4-BE49-F238E27FC236}">
              <a16:creationId xmlns:a16="http://schemas.microsoft.com/office/drawing/2014/main" id="{35B4F308-EB83-84E8-2817-B3289D43827B}"/>
            </a:ext>
          </a:extLst>
        </xdr:cNvPr>
        <xdr:cNvSpPr>
          <a:spLocks noChangeShapeType="1"/>
        </xdr:cNvSpPr>
      </xdr:nvSpPr>
      <xdr:spPr bwMode="auto">
        <a:xfrm>
          <a:off x="6715125" y="95250"/>
          <a:ext cx="87630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3</xdr:row>
          <xdr:rowOff>47625</xdr:rowOff>
        </xdr:from>
        <xdr:to>
          <xdr:col>8</xdr:col>
          <xdr:colOff>628650</xdr:colOff>
          <xdr:row>4</xdr:row>
          <xdr:rowOff>142875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BAEA076-4E9E-5BFF-A017-DF11222E9D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0000" mc:Ignorable="a14" a14:legacySpreadsheetColorIndex="67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Print Cash Flow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61975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3064724B-390D-955D-3D64-42B9D03BE3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61975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45707E11-0C97-4B91-95C2-E9A6D131EA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y%20Documents/Private/UserInterFa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Profile"/>
      <sheetName val="Opp Profile"/>
      <sheetName val="Cashflow"/>
      <sheetName val="Dolphin Onshore"/>
      <sheetName val="Dolphin Offshore"/>
      <sheetName val="Export Pipeline"/>
      <sheetName val="Coefficients"/>
      <sheetName val="GRAPH OF CAPTAL SCHEDULING"/>
      <sheetName val="CHART OF REAL vs ACTUAL DATA"/>
      <sheetName val="REAL DATA vs ACTUAL DATA"/>
      <sheetName val="UserInterFace"/>
    </sheetNames>
    <definedNames>
      <definedName name="Module4.Print_Cash_Flow"/>
    </definedNames>
    <sheetDataSet>
      <sheetData sheetId="0"/>
      <sheetData sheetId="1"/>
      <sheetData sheetId="2"/>
      <sheetData sheetId="3">
        <row r="20">
          <cell r="B20">
            <v>0</v>
          </cell>
          <cell r="D20">
            <v>0</v>
          </cell>
        </row>
        <row r="21">
          <cell r="B21">
            <v>1</v>
          </cell>
          <cell r="D21">
            <v>0.89540691928478322</v>
          </cell>
        </row>
        <row r="22">
          <cell r="B22">
            <v>2</v>
          </cell>
          <cell r="D22">
            <v>1.1116793289556401</v>
          </cell>
        </row>
        <row r="23">
          <cell r="B23">
            <v>3</v>
          </cell>
          <cell r="D23">
            <v>1.3591259126091431</v>
          </cell>
        </row>
        <row r="24">
          <cell r="B24">
            <v>4</v>
          </cell>
          <cell r="D24">
            <v>1.6408143556570203</v>
          </cell>
        </row>
        <row r="25">
          <cell r="B25">
            <v>5</v>
          </cell>
          <cell r="D25">
            <v>1.9595782245494842</v>
          </cell>
        </row>
        <row r="26">
          <cell r="B26">
            <v>6</v>
          </cell>
          <cell r="D26">
            <v>2.3177772785991246</v>
          </cell>
        </row>
        <row r="27">
          <cell r="B27">
            <v>7</v>
          </cell>
          <cell r="D27">
            <v>2.7171330803010711</v>
          </cell>
        </row>
        <row r="28">
          <cell r="B28">
            <v>8</v>
          </cell>
          <cell r="D28">
            <v>3.1590380933161453</v>
          </cell>
        </row>
        <row r="29">
          <cell r="B29">
            <v>9</v>
          </cell>
          <cell r="D29">
            <v>3.6465072376292174</v>
          </cell>
        </row>
        <row r="30">
          <cell r="B30">
            <v>10</v>
          </cell>
          <cell r="D30">
            <v>4.1909287249639045</v>
          </cell>
        </row>
        <row r="31">
          <cell r="B31">
            <v>11</v>
          </cell>
          <cell r="D31">
            <v>4.8313404116945424</v>
          </cell>
        </row>
        <row r="32">
          <cell r="B32">
            <v>12</v>
          </cell>
          <cell r="D32">
            <v>5.6814297411178281</v>
          </cell>
        </row>
        <row r="33">
          <cell r="B33">
            <v>13</v>
          </cell>
          <cell r="D33">
            <v>7.0161387440627481</v>
          </cell>
        </row>
        <row r="34">
          <cell r="B34">
            <v>14</v>
          </cell>
          <cell r="D34">
            <v>9.3304162667960675</v>
          </cell>
        </row>
        <row r="35">
          <cell r="B35">
            <v>15</v>
          </cell>
          <cell r="D35">
            <v>13.101693512002521</v>
          </cell>
        </row>
        <row r="36">
          <cell r="B36">
            <v>16</v>
          </cell>
          <cell r="D36">
            <v>18.19364915001556</v>
          </cell>
        </row>
        <row r="37">
          <cell r="B37">
            <v>17</v>
          </cell>
          <cell r="D37">
            <v>23.837029959621209</v>
          </cell>
        </row>
        <row r="38">
          <cell r="B38">
            <v>18</v>
          </cell>
          <cell r="D38">
            <v>29.441241348947329</v>
          </cell>
        </row>
        <row r="39">
          <cell r="B39">
            <v>19</v>
          </cell>
          <cell r="D39">
            <v>34.925300166998156</v>
          </cell>
        </row>
        <row r="40">
          <cell r="B40">
            <v>20</v>
          </cell>
          <cell r="D40">
            <v>40.438420003463051</v>
          </cell>
        </row>
        <row r="41">
          <cell r="B41">
            <v>21</v>
          </cell>
          <cell r="D41">
            <v>46.117302025355706</v>
          </cell>
        </row>
        <row r="42">
          <cell r="B42">
            <v>22</v>
          </cell>
          <cell r="D42">
            <v>52.012208729737146</v>
          </cell>
        </row>
        <row r="43">
          <cell r="B43">
            <v>23</v>
          </cell>
          <cell r="D43">
            <v>58.085495620362238</v>
          </cell>
        </row>
        <row r="44">
          <cell r="B44">
            <v>24</v>
          </cell>
          <cell r="D44">
            <v>64.227387443718683</v>
          </cell>
        </row>
        <row r="45">
          <cell r="B45">
            <v>25</v>
          </cell>
          <cell r="D45">
            <v>70.276265936202762</v>
          </cell>
        </row>
        <row r="46">
          <cell r="B46">
            <v>26</v>
          </cell>
          <cell r="D46">
            <v>76.043112998516364</v>
          </cell>
        </row>
        <row r="47">
          <cell r="B47">
            <v>27</v>
          </cell>
          <cell r="D47">
            <v>81.339545941272334</v>
          </cell>
        </row>
        <row r="48">
          <cell r="B48">
            <v>28</v>
          </cell>
          <cell r="D48">
            <v>86.005850718079316</v>
          </cell>
        </row>
        <row r="49">
          <cell r="B49">
            <v>29</v>
          </cell>
          <cell r="D49">
            <v>89.93351515980622</v>
          </cell>
        </row>
        <row r="50">
          <cell r="B50">
            <v>30</v>
          </cell>
          <cell r="D50">
            <v>93.077479858231882</v>
          </cell>
        </row>
        <row r="51">
          <cell r="B51">
            <v>31</v>
          </cell>
          <cell r="D51">
            <v>95.456325909560675</v>
          </cell>
        </row>
        <row r="52">
          <cell r="B52">
            <v>32</v>
          </cell>
          <cell r="D52">
            <v>97.142246134535355</v>
          </cell>
        </row>
        <row r="53">
          <cell r="B53">
            <v>33</v>
          </cell>
          <cell r="D53">
            <v>98.245100115177308</v>
          </cell>
        </row>
        <row r="54">
          <cell r="B54">
            <v>34</v>
          </cell>
          <cell r="D54">
            <v>98.895313802880125</v>
          </cell>
        </row>
        <row r="55">
          <cell r="B55">
            <v>35</v>
          </cell>
          <cell r="D55">
            <v>99.229232463982456</v>
          </cell>
        </row>
        <row r="56">
          <cell r="B56">
            <v>36</v>
          </cell>
          <cell r="D56">
            <v>99.378752602585294</v>
          </cell>
        </row>
        <row r="57">
          <cell r="B57">
            <v>37</v>
          </cell>
          <cell r="D57">
            <v>99.465501032595284</v>
          </cell>
        </row>
        <row r="58">
          <cell r="B58">
            <v>38</v>
          </cell>
          <cell r="D58">
            <v>99.598890466545114</v>
          </cell>
        </row>
        <row r="59">
          <cell r="B59">
            <v>39</v>
          </cell>
          <cell r="D59">
            <v>99.877049777292129</v>
          </cell>
        </row>
        <row r="60">
          <cell r="B60">
            <v>39.464476386036957</v>
          </cell>
          <cell r="D60">
            <v>100</v>
          </cell>
        </row>
        <row r="61">
          <cell r="B61">
            <v>39.464476386036957</v>
          </cell>
          <cell r="D61">
            <v>100</v>
          </cell>
        </row>
        <row r="62">
          <cell r="B62">
            <v>39.464476386036957</v>
          </cell>
          <cell r="D62">
            <v>100</v>
          </cell>
        </row>
        <row r="63">
          <cell r="B63">
            <v>39.464476386036957</v>
          </cell>
          <cell r="D63">
            <v>100</v>
          </cell>
        </row>
        <row r="64">
          <cell r="B64">
            <v>39.464476386036957</v>
          </cell>
          <cell r="D64">
            <v>100</v>
          </cell>
        </row>
        <row r="65">
          <cell r="B65">
            <v>39.464476386036957</v>
          </cell>
          <cell r="D65">
            <v>100</v>
          </cell>
        </row>
        <row r="66">
          <cell r="B66">
            <v>39.464476386036957</v>
          </cell>
          <cell r="D66">
            <v>100</v>
          </cell>
        </row>
        <row r="67">
          <cell r="B67">
            <v>39.464476386036957</v>
          </cell>
          <cell r="D67">
            <v>100</v>
          </cell>
        </row>
        <row r="68">
          <cell r="B68">
            <v>39.464476386036957</v>
          </cell>
          <cell r="D68">
            <v>100</v>
          </cell>
        </row>
        <row r="69">
          <cell r="B69">
            <v>39.464476386036957</v>
          </cell>
          <cell r="D69">
            <v>100</v>
          </cell>
        </row>
        <row r="70">
          <cell r="B70">
            <v>39.464476386036957</v>
          </cell>
          <cell r="D70">
            <v>100</v>
          </cell>
        </row>
        <row r="71">
          <cell r="B71">
            <v>39.464476386036957</v>
          </cell>
          <cell r="D71">
            <v>100</v>
          </cell>
        </row>
        <row r="72">
          <cell r="B72">
            <v>39.464476386036957</v>
          </cell>
          <cell r="D72">
            <v>100</v>
          </cell>
        </row>
        <row r="73">
          <cell r="B73">
            <v>39.464476386036957</v>
          </cell>
          <cell r="D73">
            <v>100</v>
          </cell>
        </row>
        <row r="74">
          <cell r="B74">
            <v>39.464476386036957</v>
          </cell>
          <cell r="D74">
            <v>100</v>
          </cell>
        </row>
        <row r="75">
          <cell r="B75">
            <v>39.464476386036957</v>
          </cell>
          <cell r="D75">
            <v>100</v>
          </cell>
        </row>
        <row r="76">
          <cell r="B76">
            <v>39.464476386036957</v>
          </cell>
          <cell r="D76">
            <v>100</v>
          </cell>
        </row>
        <row r="77">
          <cell r="B77">
            <v>39.464476386036957</v>
          </cell>
          <cell r="D77">
            <v>100</v>
          </cell>
        </row>
        <row r="78">
          <cell r="B78">
            <v>39.464476386036957</v>
          </cell>
          <cell r="D78">
            <v>100</v>
          </cell>
        </row>
        <row r="79">
          <cell r="B79">
            <v>39.464476386036957</v>
          </cell>
          <cell r="D79">
            <v>100</v>
          </cell>
        </row>
        <row r="80">
          <cell r="B80">
            <v>39.464476386036957</v>
          </cell>
          <cell r="D80">
            <v>100</v>
          </cell>
        </row>
        <row r="81">
          <cell r="B81">
            <v>39.464476386036957</v>
          </cell>
          <cell r="D81">
            <v>100</v>
          </cell>
        </row>
        <row r="82">
          <cell r="B82">
            <v>39.464476386036957</v>
          </cell>
          <cell r="D82">
            <v>100</v>
          </cell>
        </row>
        <row r="83">
          <cell r="B83">
            <v>39.464476386036957</v>
          </cell>
          <cell r="D83">
            <v>100</v>
          </cell>
        </row>
        <row r="84">
          <cell r="B84">
            <v>39.464476386036957</v>
          </cell>
          <cell r="D84">
            <v>100</v>
          </cell>
        </row>
        <row r="85">
          <cell r="B85">
            <v>39.464476386036957</v>
          </cell>
          <cell r="D85">
            <v>100</v>
          </cell>
        </row>
        <row r="86">
          <cell r="B86">
            <v>39.464476386036957</v>
          </cell>
          <cell r="D86">
            <v>100</v>
          </cell>
        </row>
        <row r="87">
          <cell r="B87">
            <v>39.464476386036957</v>
          </cell>
          <cell r="D87">
            <v>100</v>
          </cell>
        </row>
        <row r="88">
          <cell r="B88">
            <v>39.464476386036957</v>
          </cell>
          <cell r="D88">
            <v>100</v>
          </cell>
        </row>
        <row r="89">
          <cell r="B89">
            <v>39.464476386036957</v>
          </cell>
          <cell r="D89">
            <v>100</v>
          </cell>
        </row>
        <row r="90">
          <cell r="B90">
            <v>39.464476386036957</v>
          </cell>
          <cell r="D90">
            <v>100</v>
          </cell>
        </row>
        <row r="91">
          <cell r="B91">
            <v>39.464476386036957</v>
          </cell>
          <cell r="D91">
            <v>100</v>
          </cell>
        </row>
        <row r="92">
          <cell r="B92">
            <v>39.464476386036957</v>
          </cell>
          <cell r="D92">
            <v>100</v>
          </cell>
        </row>
        <row r="93">
          <cell r="B93">
            <v>39.464476386036957</v>
          </cell>
          <cell r="D93">
            <v>100</v>
          </cell>
        </row>
        <row r="94">
          <cell r="B94">
            <v>39.464476386036957</v>
          </cell>
          <cell r="D94">
            <v>100</v>
          </cell>
        </row>
        <row r="95">
          <cell r="B95">
            <v>39.464476386036957</v>
          </cell>
          <cell r="D95">
            <v>100</v>
          </cell>
        </row>
        <row r="96">
          <cell r="B96">
            <v>39.464476386036957</v>
          </cell>
          <cell r="D96">
            <v>100</v>
          </cell>
        </row>
        <row r="97">
          <cell r="B97">
            <v>39.464476386036957</v>
          </cell>
          <cell r="D97">
            <v>100</v>
          </cell>
        </row>
        <row r="98">
          <cell r="B98">
            <v>39.464476386036957</v>
          </cell>
          <cell r="D98">
            <v>100</v>
          </cell>
        </row>
        <row r="99">
          <cell r="B99">
            <v>39.464476386036957</v>
          </cell>
          <cell r="D99">
            <v>100</v>
          </cell>
        </row>
        <row r="100">
          <cell r="B100">
            <v>39.464476386036957</v>
          </cell>
          <cell r="D100">
            <v>100</v>
          </cell>
        </row>
        <row r="101">
          <cell r="B101">
            <v>39.464476386036957</v>
          </cell>
          <cell r="D101">
            <v>100</v>
          </cell>
        </row>
        <row r="102">
          <cell r="B102">
            <v>39.464476386036957</v>
          </cell>
          <cell r="D102">
            <v>100</v>
          </cell>
        </row>
        <row r="103">
          <cell r="B103">
            <v>39.464476386036957</v>
          </cell>
          <cell r="D103">
            <v>100</v>
          </cell>
        </row>
        <row r="104">
          <cell r="B104">
            <v>39.464476386036957</v>
          </cell>
          <cell r="D104">
            <v>100</v>
          </cell>
        </row>
        <row r="105">
          <cell r="B105">
            <v>39.464476386036957</v>
          </cell>
          <cell r="D105">
            <v>100</v>
          </cell>
        </row>
        <row r="106">
          <cell r="B106">
            <v>39.464476386036957</v>
          </cell>
          <cell r="D106">
            <v>100</v>
          </cell>
        </row>
        <row r="107">
          <cell r="B107">
            <v>39.464476386036957</v>
          </cell>
          <cell r="D107">
            <v>100</v>
          </cell>
        </row>
        <row r="108">
          <cell r="B108">
            <v>39.464476386036957</v>
          </cell>
          <cell r="D108">
            <v>100</v>
          </cell>
        </row>
        <row r="109">
          <cell r="B109">
            <v>39.464476386036957</v>
          </cell>
          <cell r="D109">
            <v>100</v>
          </cell>
        </row>
        <row r="110">
          <cell r="B110">
            <v>39.464476386036957</v>
          </cell>
          <cell r="D110">
            <v>100</v>
          </cell>
        </row>
        <row r="111">
          <cell r="B111">
            <v>39.464476386036957</v>
          </cell>
          <cell r="D111">
            <v>100</v>
          </cell>
        </row>
        <row r="112">
          <cell r="B112">
            <v>39.464476386036957</v>
          </cell>
          <cell r="D112">
            <v>100</v>
          </cell>
        </row>
        <row r="113">
          <cell r="B113">
            <v>39.464476386036957</v>
          </cell>
          <cell r="D113">
            <v>100</v>
          </cell>
        </row>
        <row r="114">
          <cell r="B114">
            <v>39.464476386036957</v>
          </cell>
          <cell r="D114">
            <v>100</v>
          </cell>
        </row>
        <row r="115">
          <cell r="B115">
            <v>39.464476386036957</v>
          </cell>
          <cell r="D115">
            <v>100</v>
          </cell>
        </row>
        <row r="116">
          <cell r="B116">
            <v>39.464476386036957</v>
          </cell>
          <cell r="D116">
            <v>100</v>
          </cell>
        </row>
        <row r="117">
          <cell r="B117">
            <v>39.464476386036957</v>
          </cell>
          <cell r="D117">
            <v>100</v>
          </cell>
        </row>
        <row r="118">
          <cell r="B118">
            <v>39.464476386036957</v>
          </cell>
          <cell r="D118">
            <v>100</v>
          </cell>
        </row>
        <row r="119">
          <cell r="B119">
            <v>39.464476386036957</v>
          </cell>
          <cell r="D119">
            <v>100</v>
          </cell>
        </row>
        <row r="120">
          <cell r="B120">
            <v>39.464476386036957</v>
          </cell>
          <cell r="D120">
            <v>100</v>
          </cell>
        </row>
        <row r="121">
          <cell r="B121">
            <v>39.464476386036957</v>
          </cell>
          <cell r="D121">
            <v>100</v>
          </cell>
        </row>
        <row r="122">
          <cell r="B122">
            <v>39.464476386036957</v>
          </cell>
          <cell r="D122">
            <v>100</v>
          </cell>
        </row>
        <row r="123">
          <cell r="B123">
            <v>39.464476386036957</v>
          </cell>
          <cell r="D123">
            <v>100</v>
          </cell>
        </row>
        <row r="124">
          <cell r="B124">
            <v>39.464476386036957</v>
          </cell>
          <cell r="D124">
            <v>100</v>
          </cell>
        </row>
        <row r="125">
          <cell r="B125">
            <v>39.464476386036957</v>
          </cell>
          <cell r="D125">
            <v>100</v>
          </cell>
        </row>
        <row r="126">
          <cell r="B126">
            <v>39.464476386036957</v>
          </cell>
          <cell r="D126">
            <v>100</v>
          </cell>
        </row>
        <row r="127">
          <cell r="B127">
            <v>39.464476386036957</v>
          </cell>
          <cell r="D127">
            <v>100</v>
          </cell>
        </row>
        <row r="128">
          <cell r="B128">
            <v>39.464476386036957</v>
          </cell>
          <cell r="D128">
            <v>100</v>
          </cell>
        </row>
        <row r="129">
          <cell r="B129">
            <v>39.464476386036957</v>
          </cell>
          <cell r="D129">
            <v>100</v>
          </cell>
        </row>
        <row r="130">
          <cell r="B130">
            <v>39.464476386036957</v>
          </cell>
          <cell r="D130">
            <v>100</v>
          </cell>
        </row>
        <row r="131">
          <cell r="B131">
            <v>39.464476386036957</v>
          </cell>
          <cell r="D131">
            <v>100</v>
          </cell>
        </row>
        <row r="132">
          <cell r="B132">
            <v>39.464476386036957</v>
          </cell>
          <cell r="D132">
            <v>100</v>
          </cell>
        </row>
        <row r="133">
          <cell r="B133">
            <v>39.464476386036957</v>
          </cell>
          <cell r="D133">
            <v>100</v>
          </cell>
        </row>
        <row r="134">
          <cell r="B134">
            <v>39.464476386036957</v>
          </cell>
          <cell r="D134">
            <v>100</v>
          </cell>
        </row>
        <row r="135">
          <cell r="B135">
            <v>39.464476386036957</v>
          </cell>
          <cell r="D135">
            <v>100</v>
          </cell>
        </row>
        <row r="136">
          <cell r="B136">
            <v>39.464476386036957</v>
          </cell>
          <cell r="D136">
            <v>100</v>
          </cell>
        </row>
        <row r="137">
          <cell r="B137">
            <v>39.464476386036957</v>
          </cell>
          <cell r="D137">
            <v>100</v>
          </cell>
        </row>
        <row r="138">
          <cell r="B138">
            <v>39.464476386036957</v>
          </cell>
          <cell r="D138">
            <v>100</v>
          </cell>
        </row>
        <row r="139">
          <cell r="B139">
            <v>39.464476386036957</v>
          </cell>
          <cell r="D139">
            <v>100</v>
          </cell>
        </row>
        <row r="140">
          <cell r="B140">
            <v>39.464476386036957</v>
          </cell>
          <cell r="D140">
            <v>100</v>
          </cell>
        </row>
        <row r="141">
          <cell r="B141">
            <v>39.464476386036957</v>
          </cell>
          <cell r="D141">
            <v>100</v>
          </cell>
        </row>
        <row r="142">
          <cell r="B142">
            <v>39.464476386036957</v>
          </cell>
          <cell r="D142">
            <v>100</v>
          </cell>
        </row>
        <row r="143">
          <cell r="B143">
            <v>39.464476386036957</v>
          </cell>
          <cell r="D143">
            <v>100</v>
          </cell>
        </row>
        <row r="144">
          <cell r="B144">
            <v>39.464476386036957</v>
          </cell>
          <cell r="D144">
            <v>100</v>
          </cell>
        </row>
        <row r="145">
          <cell r="B145">
            <v>39.464476386036957</v>
          </cell>
          <cell r="D145">
            <v>100</v>
          </cell>
        </row>
      </sheetData>
      <sheetData sheetId="4"/>
      <sheetData sheetId="5"/>
      <sheetData sheetId="6"/>
      <sheetData sheetId="7" refreshError="1"/>
      <sheetData sheetId="8" refreshError="1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D27D-0647-4987-B6D6-80B29C120C8A}">
  <sheetPr codeName="Sheet4">
    <pageSetUpPr fitToPage="1"/>
  </sheetPr>
  <dimension ref="A1:AP326"/>
  <sheetViews>
    <sheetView showGridLines="0" tabSelected="1" topLeftCell="A40" zoomScaleNormal="100" workbookViewId="0">
      <selection activeCell="E73" sqref="E20:E73"/>
    </sheetView>
  </sheetViews>
  <sheetFormatPr defaultColWidth="9.16796875" defaultRowHeight="12.75" x14ac:dyDescent="0.15"/>
  <cols>
    <col min="1" max="1" width="7.14453125" style="29" bestFit="1" customWidth="1"/>
    <col min="2" max="2" width="22.3828125" style="2" customWidth="1"/>
    <col min="3" max="3" width="18.87890625" style="2" bestFit="1" customWidth="1"/>
    <col min="4" max="4" width="13.484375" style="2" customWidth="1"/>
    <col min="5" max="5" width="16.44921875" style="2" customWidth="1"/>
    <col min="6" max="6" width="13.88671875" style="2" bestFit="1" customWidth="1"/>
    <col min="7" max="7" width="20.765625" style="2" bestFit="1" customWidth="1"/>
    <col min="8" max="13" width="10.3828125" style="2" customWidth="1"/>
    <col min="14" max="14" width="12.13671875" style="2" customWidth="1"/>
    <col min="15" max="23" width="10.3828125" style="2" customWidth="1"/>
    <col min="24" max="34" width="11.4609375" style="2" customWidth="1"/>
    <col min="35" max="35" width="10.65234375" style="2" customWidth="1"/>
    <col min="36" max="256" width="11.4609375" style="2" customWidth="1"/>
    <col min="257" max="16384" width="9.16796875" style="2"/>
  </cols>
  <sheetData>
    <row r="1" spans="2:42" x14ac:dyDescent="0.15">
      <c r="B1" s="1" t="s">
        <v>63</v>
      </c>
      <c r="G1" s="1" t="s">
        <v>0</v>
      </c>
    </row>
    <row r="2" spans="2:42" ht="13.5" thickBot="1" x14ac:dyDescent="0.2"/>
    <row r="3" spans="2:42" ht="13.5" thickBot="1" x14ac:dyDescent="0.2">
      <c r="B3" s="2" t="s">
        <v>1</v>
      </c>
      <c r="C3" s="83" t="s">
        <v>65</v>
      </c>
      <c r="D3" s="84"/>
    </row>
    <row r="4" spans="2:42" ht="14.25" thickTop="1" thickBot="1" x14ac:dyDescent="0.2">
      <c r="B4" s="3" t="s">
        <v>2</v>
      </c>
      <c r="C4" s="4">
        <v>44652</v>
      </c>
      <c r="E4" s="2" t="s">
        <v>3</v>
      </c>
      <c r="F4" s="82">
        <v>45992</v>
      </c>
      <c r="AK4" s="5"/>
      <c r="AL4" s="5"/>
      <c r="AM4" s="5"/>
      <c r="AN4" s="5"/>
      <c r="AO4" s="5"/>
      <c r="AP4" s="5"/>
    </row>
    <row r="5" spans="2:42" ht="21.75" thickTop="1" thickBot="1" x14ac:dyDescent="0.2">
      <c r="B5" s="6" t="s">
        <v>4</v>
      </c>
      <c r="C5" s="7">
        <f>(F4-C4)/(365.25/12)</f>
        <v>44.024640657084191</v>
      </c>
      <c r="AK5" s="5"/>
      <c r="AL5" s="5"/>
      <c r="AM5" s="5"/>
      <c r="AN5" s="5"/>
      <c r="AO5" s="5"/>
      <c r="AP5" s="5"/>
    </row>
    <row r="6" spans="2:42" ht="24" customHeight="1" thickTop="1" x14ac:dyDescent="0.2">
      <c r="B6" s="8" t="s">
        <v>5</v>
      </c>
      <c r="C6" s="77">
        <v>100</v>
      </c>
      <c r="AK6" s="5"/>
      <c r="AL6" s="5"/>
      <c r="AM6" s="5"/>
      <c r="AN6" s="5"/>
      <c r="AO6" s="5"/>
      <c r="AP6" s="5"/>
    </row>
    <row r="7" spans="2:42" ht="13.5" thickBot="1" x14ac:dyDescent="0.2">
      <c r="AK7" s="5"/>
      <c r="AL7" s="5"/>
      <c r="AM7" s="5"/>
      <c r="AN7" s="5"/>
      <c r="AO7" s="5"/>
      <c r="AP7" s="5"/>
    </row>
    <row r="8" spans="2:42" ht="13.5" thickTop="1" x14ac:dyDescent="0.15">
      <c r="B8" s="9"/>
      <c r="C8" s="10">
        <v>2000</v>
      </c>
      <c r="D8" s="10">
        <f t="shared" ref="D8:AF8" si="0">1+C8</f>
        <v>2001</v>
      </c>
      <c r="E8" s="10">
        <f t="shared" si="0"/>
        <v>2002</v>
      </c>
      <c r="F8" s="10">
        <f t="shared" si="0"/>
        <v>2003</v>
      </c>
      <c r="G8" s="10">
        <f t="shared" si="0"/>
        <v>2004</v>
      </c>
      <c r="H8" s="10">
        <f t="shared" si="0"/>
        <v>2005</v>
      </c>
      <c r="I8" s="10">
        <f t="shared" si="0"/>
        <v>2006</v>
      </c>
      <c r="J8" s="10">
        <f t="shared" si="0"/>
        <v>2007</v>
      </c>
      <c r="K8" s="10">
        <f t="shared" si="0"/>
        <v>2008</v>
      </c>
      <c r="L8" s="10">
        <f t="shared" si="0"/>
        <v>2009</v>
      </c>
      <c r="M8" s="10">
        <f t="shared" si="0"/>
        <v>2010</v>
      </c>
      <c r="N8" s="10">
        <f t="shared" si="0"/>
        <v>2011</v>
      </c>
      <c r="O8" s="10">
        <f t="shared" si="0"/>
        <v>2012</v>
      </c>
      <c r="P8" s="10">
        <f t="shared" si="0"/>
        <v>2013</v>
      </c>
      <c r="Q8" s="10">
        <f t="shared" si="0"/>
        <v>2014</v>
      </c>
      <c r="R8" s="10">
        <f t="shared" si="0"/>
        <v>2015</v>
      </c>
      <c r="S8" s="10">
        <f t="shared" si="0"/>
        <v>2016</v>
      </c>
      <c r="T8" s="10">
        <f t="shared" si="0"/>
        <v>2017</v>
      </c>
      <c r="U8" s="10">
        <f t="shared" si="0"/>
        <v>2018</v>
      </c>
      <c r="V8" s="10">
        <f t="shared" si="0"/>
        <v>2019</v>
      </c>
      <c r="W8" s="10">
        <f t="shared" si="0"/>
        <v>2020</v>
      </c>
      <c r="X8" s="10">
        <f t="shared" si="0"/>
        <v>2021</v>
      </c>
      <c r="Y8" s="10">
        <f t="shared" si="0"/>
        <v>2022</v>
      </c>
      <c r="Z8" s="10">
        <f t="shared" si="0"/>
        <v>2023</v>
      </c>
      <c r="AA8" s="10">
        <f t="shared" si="0"/>
        <v>2024</v>
      </c>
      <c r="AB8" s="10">
        <f t="shared" si="0"/>
        <v>2025</v>
      </c>
      <c r="AC8" s="10">
        <f t="shared" si="0"/>
        <v>2026</v>
      </c>
      <c r="AD8" s="10">
        <f t="shared" si="0"/>
        <v>2027</v>
      </c>
      <c r="AE8" s="10">
        <f t="shared" si="0"/>
        <v>2028</v>
      </c>
      <c r="AF8" s="11">
        <f t="shared" si="0"/>
        <v>2029</v>
      </c>
      <c r="AG8" s="5"/>
      <c r="AK8" s="5"/>
      <c r="AL8" s="5"/>
      <c r="AM8" s="5"/>
      <c r="AN8" s="5"/>
      <c r="AO8" s="5"/>
      <c r="AP8" s="5"/>
    </row>
    <row r="9" spans="2:42" x14ac:dyDescent="0.15">
      <c r="B9" s="12"/>
      <c r="C9" s="13" t="s">
        <v>6</v>
      </c>
      <c r="D9" s="13" t="s">
        <v>7</v>
      </c>
      <c r="E9" s="14" t="s">
        <v>8</v>
      </c>
      <c r="F9" s="14" t="s">
        <v>9</v>
      </c>
      <c r="G9" s="13" t="s">
        <v>10</v>
      </c>
      <c r="H9" s="13" t="s">
        <v>11</v>
      </c>
      <c r="I9" s="13" t="s">
        <v>12</v>
      </c>
      <c r="J9" s="13" t="s">
        <v>13</v>
      </c>
      <c r="K9" s="13" t="s">
        <v>14</v>
      </c>
      <c r="L9" s="13" t="s">
        <v>15</v>
      </c>
      <c r="M9" s="13" t="s">
        <v>16</v>
      </c>
      <c r="N9" s="13" t="s">
        <v>17</v>
      </c>
      <c r="O9" s="13" t="s">
        <v>18</v>
      </c>
      <c r="P9" s="13" t="s">
        <v>19</v>
      </c>
      <c r="Q9" s="13" t="s">
        <v>20</v>
      </c>
      <c r="R9" s="13" t="s">
        <v>21</v>
      </c>
      <c r="S9" s="13" t="s">
        <v>22</v>
      </c>
      <c r="T9" s="13" t="s">
        <v>23</v>
      </c>
      <c r="U9" s="13" t="s">
        <v>24</v>
      </c>
      <c r="V9" s="13" t="s">
        <v>25</v>
      </c>
      <c r="W9" s="13" t="s">
        <v>26</v>
      </c>
      <c r="X9" s="13" t="s">
        <v>27</v>
      </c>
      <c r="Y9" s="13" t="s">
        <v>28</v>
      </c>
      <c r="Z9" s="13" t="s">
        <v>29</v>
      </c>
      <c r="AA9" s="13" t="s">
        <v>30</v>
      </c>
      <c r="AB9" s="13" t="s">
        <v>31</v>
      </c>
      <c r="AC9" s="13" t="s">
        <v>32</v>
      </c>
      <c r="AD9" s="13" t="s">
        <v>33</v>
      </c>
      <c r="AE9" s="14" t="s">
        <v>34</v>
      </c>
      <c r="AF9" s="15" t="s">
        <v>35</v>
      </c>
      <c r="AG9" s="5"/>
      <c r="AK9" s="5"/>
      <c r="AL9" s="5"/>
      <c r="AM9" s="5"/>
      <c r="AN9" s="5"/>
      <c r="AO9" s="5"/>
      <c r="AP9" s="5"/>
    </row>
    <row r="10" spans="2:42" x14ac:dyDescent="0.15">
      <c r="B10" s="16" t="s">
        <v>36</v>
      </c>
      <c r="C10" s="17">
        <f t="shared" ref="C10:AF10" si="1">+INT(DAYS360($C$4,DATE(C8,6,26))/360+1)</f>
        <v>-21</v>
      </c>
      <c r="D10" s="17">
        <f t="shared" si="1"/>
        <v>-20</v>
      </c>
      <c r="E10" s="17">
        <f t="shared" si="1"/>
        <v>-19</v>
      </c>
      <c r="F10" s="17">
        <f t="shared" si="1"/>
        <v>-18</v>
      </c>
      <c r="G10" s="17">
        <f t="shared" si="1"/>
        <v>-17</v>
      </c>
      <c r="H10" s="17">
        <f t="shared" si="1"/>
        <v>-16</v>
      </c>
      <c r="I10" s="17">
        <f t="shared" si="1"/>
        <v>-15</v>
      </c>
      <c r="J10" s="17">
        <f t="shared" si="1"/>
        <v>-14</v>
      </c>
      <c r="K10" s="17">
        <f t="shared" si="1"/>
        <v>-13</v>
      </c>
      <c r="L10" s="17">
        <f t="shared" si="1"/>
        <v>-12</v>
      </c>
      <c r="M10" s="17">
        <f t="shared" si="1"/>
        <v>-11</v>
      </c>
      <c r="N10" s="17">
        <f t="shared" si="1"/>
        <v>-10</v>
      </c>
      <c r="O10" s="17">
        <f t="shared" si="1"/>
        <v>-9</v>
      </c>
      <c r="P10" s="17">
        <f t="shared" si="1"/>
        <v>-8</v>
      </c>
      <c r="Q10" s="17">
        <f t="shared" si="1"/>
        <v>-7</v>
      </c>
      <c r="R10" s="17">
        <f t="shared" si="1"/>
        <v>-6</v>
      </c>
      <c r="S10" s="17">
        <f t="shared" si="1"/>
        <v>-5</v>
      </c>
      <c r="T10" s="17">
        <f t="shared" si="1"/>
        <v>-4</v>
      </c>
      <c r="U10" s="17">
        <f t="shared" si="1"/>
        <v>-3</v>
      </c>
      <c r="V10" s="17">
        <f t="shared" si="1"/>
        <v>-2</v>
      </c>
      <c r="W10" s="17">
        <f t="shared" si="1"/>
        <v>-1</v>
      </c>
      <c r="X10" s="17">
        <f t="shared" si="1"/>
        <v>0</v>
      </c>
      <c r="Y10" s="17">
        <f t="shared" si="1"/>
        <v>1</v>
      </c>
      <c r="Z10" s="17">
        <f t="shared" si="1"/>
        <v>2</v>
      </c>
      <c r="AA10" s="17">
        <f t="shared" si="1"/>
        <v>3</v>
      </c>
      <c r="AB10" s="17">
        <f t="shared" si="1"/>
        <v>4</v>
      </c>
      <c r="AC10" s="17">
        <f t="shared" si="1"/>
        <v>5</v>
      </c>
      <c r="AD10" s="17">
        <f t="shared" si="1"/>
        <v>6</v>
      </c>
      <c r="AE10" s="17">
        <f t="shared" si="1"/>
        <v>7</v>
      </c>
      <c r="AF10" s="18">
        <f t="shared" si="1"/>
        <v>8</v>
      </c>
      <c r="AG10" s="5"/>
      <c r="AK10" s="5"/>
      <c r="AL10" s="5"/>
      <c r="AM10" s="5"/>
      <c r="AN10" s="5"/>
      <c r="AO10" s="5"/>
      <c r="AP10" s="5"/>
    </row>
    <row r="11" spans="2:42" ht="37.5" customHeight="1" x14ac:dyDescent="0.15">
      <c r="B11" s="16" t="s">
        <v>37</v>
      </c>
      <c r="C11" s="19">
        <f t="shared" ref="C11:AF11" si="2">+IF(ROUND((DATE(C8,6,26)-$C$4)/365*12,0)&lt;0,0,ROUND((DATE(C8,6,26)-$C$4)/365*12,0))</f>
        <v>0</v>
      </c>
      <c r="D11" s="19">
        <f t="shared" si="2"/>
        <v>0</v>
      </c>
      <c r="E11" s="19">
        <f t="shared" si="2"/>
        <v>0</v>
      </c>
      <c r="F11" s="19">
        <f t="shared" si="2"/>
        <v>0</v>
      </c>
      <c r="G11" s="19">
        <f t="shared" si="2"/>
        <v>0</v>
      </c>
      <c r="H11" s="19">
        <f t="shared" si="2"/>
        <v>0</v>
      </c>
      <c r="I11" s="19">
        <f t="shared" si="2"/>
        <v>0</v>
      </c>
      <c r="J11" s="19">
        <f t="shared" si="2"/>
        <v>0</v>
      </c>
      <c r="K11" s="19">
        <f t="shared" si="2"/>
        <v>0</v>
      </c>
      <c r="L11" s="19">
        <f t="shared" si="2"/>
        <v>0</v>
      </c>
      <c r="M11" s="19">
        <f t="shared" si="2"/>
        <v>0</v>
      </c>
      <c r="N11" s="19">
        <f t="shared" si="2"/>
        <v>0</v>
      </c>
      <c r="O11" s="19">
        <f t="shared" si="2"/>
        <v>0</v>
      </c>
      <c r="P11" s="19">
        <f t="shared" si="2"/>
        <v>0</v>
      </c>
      <c r="Q11" s="19">
        <f t="shared" si="2"/>
        <v>0</v>
      </c>
      <c r="R11" s="19">
        <f t="shared" si="2"/>
        <v>0</v>
      </c>
      <c r="S11" s="19">
        <f t="shared" si="2"/>
        <v>0</v>
      </c>
      <c r="T11" s="19">
        <f t="shared" si="2"/>
        <v>0</v>
      </c>
      <c r="U11" s="19">
        <f t="shared" si="2"/>
        <v>0</v>
      </c>
      <c r="V11" s="19">
        <f t="shared" si="2"/>
        <v>0</v>
      </c>
      <c r="W11" s="19">
        <f t="shared" si="2"/>
        <v>0</v>
      </c>
      <c r="X11" s="19">
        <f t="shared" si="2"/>
        <v>0</v>
      </c>
      <c r="Y11" s="19">
        <f t="shared" si="2"/>
        <v>3</v>
      </c>
      <c r="Z11" s="19">
        <f t="shared" si="2"/>
        <v>15</v>
      </c>
      <c r="AA11" s="19">
        <f t="shared" si="2"/>
        <v>27</v>
      </c>
      <c r="AB11" s="19">
        <f t="shared" si="2"/>
        <v>39</v>
      </c>
      <c r="AC11" s="19">
        <f t="shared" si="2"/>
        <v>51</v>
      </c>
      <c r="AD11" s="19">
        <f t="shared" si="2"/>
        <v>63</v>
      </c>
      <c r="AE11" s="19">
        <f t="shared" si="2"/>
        <v>75</v>
      </c>
      <c r="AF11" s="20">
        <f t="shared" si="2"/>
        <v>87</v>
      </c>
      <c r="AG11" s="5"/>
      <c r="AK11" s="5"/>
      <c r="AL11" s="5"/>
      <c r="AM11" s="5"/>
      <c r="AN11" s="5"/>
      <c r="AO11" s="5"/>
      <c r="AP11" s="5"/>
    </row>
    <row r="12" spans="2:42" ht="33.75" customHeight="1" x14ac:dyDescent="0.15">
      <c r="B12" s="21" t="s">
        <v>38</v>
      </c>
      <c r="C12" s="22">
        <f t="shared" ref="C12:AF12" ca="1" si="3">+IF(C11&lt;0,0,OFFSET($D$20,C11,0))</f>
        <v>0</v>
      </c>
      <c r="D12" s="22">
        <f t="shared" ca="1" si="3"/>
        <v>0</v>
      </c>
      <c r="E12" s="22">
        <f t="shared" ca="1" si="3"/>
        <v>0</v>
      </c>
      <c r="F12" s="22">
        <f t="shared" ca="1" si="3"/>
        <v>0</v>
      </c>
      <c r="G12" s="22">
        <f t="shared" ca="1" si="3"/>
        <v>0</v>
      </c>
      <c r="H12" s="22">
        <f t="shared" ca="1" si="3"/>
        <v>0</v>
      </c>
      <c r="I12" s="22">
        <f t="shared" ca="1" si="3"/>
        <v>0</v>
      </c>
      <c r="J12" s="22">
        <f t="shared" ca="1" si="3"/>
        <v>0</v>
      </c>
      <c r="K12" s="22">
        <f t="shared" ca="1" si="3"/>
        <v>0</v>
      </c>
      <c r="L12" s="22">
        <f t="shared" ca="1" si="3"/>
        <v>0</v>
      </c>
      <c r="M12" s="22">
        <f t="shared" ca="1" si="3"/>
        <v>0</v>
      </c>
      <c r="N12" s="22">
        <f t="shared" ca="1" si="3"/>
        <v>0</v>
      </c>
      <c r="O12" s="22">
        <f t="shared" ca="1" si="3"/>
        <v>0</v>
      </c>
      <c r="P12" s="22">
        <f t="shared" ca="1" si="3"/>
        <v>0</v>
      </c>
      <c r="Q12" s="22">
        <f t="shared" ca="1" si="3"/>
        <v>0</v>
      </c>
      <c r="R12" s="22">
        <f t="shared" ca="1" si="3"/>
        <v>0</v>
      </c>
      <c r="S12" s="22">
        <f t="shared" ca="1" si="3"/>
        <v>0</v>
      </c>
      <c r="T12" s="22">
        <f t="shared" ca="1" si="3"/>
        <v>0</v>
      </c>
      <c r="U12" s="22">
        <f t="shared" ca="1" si="3"/>
        <v>0</v>
      </c>
      <c r="V12" s="22">
        <f t="shared" ca="1" si="3"/>
        <v>0</v>
      </c>
      <c r="W12" s="22">
        <f t="shared" ca="1" si="3"/>
        <v>0</v>
      </c>
      <c r="X12" s="22">
        <f t="shared" ca="1" si="3"/>
        <v>0</v>
      </c>
      <c r="Y12" s="22">
        <f t="shared" ca="1" si="3"/>
        <v>1.168355556921197</v>
      </c>
      <c r="Z12" s="22">
        <f t="shared" ca="1" si="3"/>
        <v>4.9827405660434483</v>
      </c>
      <c r="AA12" s="22">
        <f t="shared" ca="1" si="3"/>
        <v>41.386220393280588</v>
      </c>
      <c r="AB12" s="22">
        <f t="shared" ca="1" si="3"/>
        <v>90.39906173496351</v>
      </c>
      <c r="AC12" s="22">
        <f t="shared" ca="1" si="3"/>
        <v>99.618198319812748</v>
      </c>
      <c r="AD12" s="22">
        <f t="shared" ca="1" si="3"/>
        <v>100</v>
      </c>
      <c r="AE12" s="22">
        <f t="shared" ca="1" si="3"/>
        <v>100</v>
      </c>
      <c r="AF12" s="23">
        <f t="shared" ca="1" si="3"/>
        <v>100</v>
      </c>
      <c r="AG12" s="5"/>
      <c r="AH12" s="24"/>
      <c r="AI12" s="24"/>
      <c r="AJ12" s="5"/>
      <c r="AK12" s="5"/>
      <c r="AL12" s="5"/>
      <c r="AM12" s="5"/>
      <c r="AN12" s="5"/>
      <c r="AO12" s="5"/>
      <c r="AP12" s="5"/>
    </row>
    <row r="13" spans="2:42" ht="26.25" customHeight="1" x14ac:dyDescent="0.15">
      <c r="B13" s="16" t="s">
        <v>39</v>
      </c>
      <c r="C13" s="22">
        <f ca="1">+C12</f>
        <v>0</v>
      </c>
      <c r="D13" s="22">
        <f t="shared" ref="D13:AF13" ca="1" si="4">+D12-C12</f>
        <v>0</v>
      </c>
      <c r="E13" s="22">
        <f t="shared" ca="1" si="4"/>
        <v>0</v>
      </c>
      <c r="F13" s="22">
        <f t="shared" ca="1" si="4"/>
        <v>0</v>
      </c>
      <c r="G13" s="22">
        <f t="shared" ca="1" si="4"/>
        <v>0</v>
      </c>
      <c r="H13" s="22">
        <f t="shared" ca="1" si="4"/>
        <v>0</v>
      </c>
      <c r="I13" s="22">
        <f t="shared" ca="1" si="4"/>
        <v>0</v>
      </c>
      <c r="J13" s="22">
        <f t="shared" ca="1" si="4"/>
        <v>0</v>
      </c>
      <c r="K13" s="22">
        <f t="shared" ca="1" si="4"/>
        <v>0</v>
      </c>
      <c r="L13" s="22">
        <f t="shared" ca="1" si="4"/>
        <v>0</v>
      </c>
      <c r="M13" s="22">
        <f t="shared" ca="1" si="4"/>
        <v>0</v>
      </c>
      <c r="N13" s="22">
        <f t="shared" ca="1" si="4"/>
        <v>0</v>
      </c>
      <c r="O13" s="22">
        <f t="shared" ca="1" si="4"/>
        <v>0</v>
      </c>
      <c r="P13" s="22">
        <f t="shared" ca="1" si="4"/>
        <v>0</v>
      </c>
      <c r="Q13" s="22">
        <f t="shared" ca="1" si="4"/>
        <v>0</v>
      </c>
      <c r="R13" s="22">
        <f t="shared" ca="1" si="4"/>
        <v>0</v>
      </c>
      <c r="S13" s="22">
        <f t="shared" ca="1" si="4"/>
        <v>0</v>
      </c>
      <c r="T13" s="22">
        <f t="shared" ca="1" si="4"/>
        <v>0</v>
      </c>
      <c r="U13" s="22">
        <f t="shared" ca="1" si="4"/>
        <v>0</v>
      </c>
      <c r="V13" s="22">
        <f t="shared" ca="1" si="4"/>
        <v>0</v>
      </c>
      <c r="W13" s="22">
        <f t="shared" ca="1" si="4"/>
        <v>0</v>
      </c>
      <c r="X13" s="22">
        <f t="shared" ca="1" si="4"/>
        <v>0</v>
      </c>
      <c r="Y13" s="22">
        <f t="shared" ca="1" si="4"/>
        <v>1.168355556921197</v>
      </c>
      <c r="Z13" s="22">
        <f t="shared" ca="1" si="4"/>
        <v>3.8143850091222511</v>
      </c>
      <c r="AA13" s="22">
        <f t="shared" ca="1" si="4"/>
        <v>36.403479827237142</v>
      </c>
      <c r="AB13" s="22">
        <f t="shared" ca="1" si="4"/>
        <v>49.012841341682922</v>
      </c>
      <c r="AC13" s="22">
        <f t="shared" ca="1" si="4"/>
        <v>9.2191365848492381</v>
      </c>
      <c r="AD13" s="22">
        <f t="shared" ca="1" si="4"/>
        <v>0.38180168018725169</v>
      </c>
      <c r="AE13" s="22">
        <f t="shared" ca="1" si="4"/>
        <v>0</v>
      </c>
      <c r="AF13" s="23">
        <f t="shared" ca="1" si="4"/>
        <v>0</v>
      </c>
      <c r="AG13" s="5"/>
      <c r="AH13" s="24"/>
      <c r="AI13" s="24"/>
      <c r="AJ13" s="5"/>
      <c r="AK13" s="5"/>
      <c r="AL13" s="5"/>
      <c r="AM13" s="5"/>
      <c r="AN13" s="5"/>
      <c r="AO13" s="5"/>
      <c r="AP13" s="5"/>
    </row>
    <row r="14" spans="2:42" ht="27.75" customHeight="1" x14ac:dyDescent="0.15">
      <c r="B14" s="16" t="s">
        <v>40</v>
      </c>
      <c r="C14" s="22">
        <f t="shared" ref="C14:AF14" ca="1" si="5">+$C$6*C12/100</f>
        <v>0</v>
      </c>
      <c r="D14" s="22">
        <f t="shared" ca="1" si="5"/>
        <v>0</v>
      </c>
      <c r="E14" s="22">
        <f t="shared" ca="1" si="5"/>
        <v>0</v>
      </c>
      <c r="F14" s="22">
        <f t="shared" ca="1" si="5"/>
        <v>0</v>
      </c>
      <c r="G14" s="22">
        <f t="shared" ca="1" si="5"/>
        <v>0</v>
      </c>
      <c r="H14" s="22">
        <f t="shared" ca="1" si="5"/>
        <v>0</v>
      </c>
      <c r="I14" s="22">
        <f t="shared" ca="1" si="5"/>
        <v>0</v>
      </c>
      <c r="J14" s="22">
        <f t="shared" ca="1" si="5"/>
        <v>0</v>
      </c>
      <c r="K14" s="22">
        <f t="shared" ca="1" si="5"/>
        <v>0</v>
      </c>
      <c r="L14" s="22">
        <f t="shared" ca="1" si="5"/>
        <v>0</v>
      </c>
      <c r="M14" s="22">
        <f t="shared" ca="1" si="5"/>
        <v>0</v>
      </c>
      <c r="N14" s="22">
        <f t="shared" ca="1" si="5"/>
        <v>0</v>
      </c>
      <c r="O14" s="22">
        <f t="shared" ca="1" si="5"/>
        <v>0</v>
      </c>
      <c r="P14" s="22">
        <f t="shared" ca="1" si="5"/>
        <v>0</v>
      </c>
      <c r="Q14" s="22">
        <f t="shared" ca="1" si="5"/>
        <v>0</v>
      </c>
      <c r="R14" s="22">
        <f t="shared" ca="1" si="5"/>
        <v>0</v>
      </c>
      <c r="S14" s="22">
        <f t="shared" ca="1" si="5"/>
        <v>0</v>
      </c>
      <c r="T14" s="22">
        <f t="shared" ca="1" si="5"/>
        <v>0</v>
      </c>
      <c r="U14" s="22">
        <f t="shared" ca="1" si="5"/>
        <v>0</v>
      </c>
      <c r="V14" s="22">
        <f t="shared" ca="1" si="5"/>
        <v>0</v>
      </c>
      <c r="W14" s="22">
        <f t="shared" ca="1" si="5"/>
        <v>0</v>
      </c>
      <c r="X14" s="22">
        <f t="shared" ca="1" si="5"/>
        <v>0</v>
      </c>
      <c r="Y14" s="22">
        <f t="shared" ca="1" si="5"/>
        <v>1.168355556921197</v>
      </c>
      <c r="Z14" s="22">
        <f t="shared" ca="1" si="5"/>
        <v>4.9827405660434483</v>
      </c>
      <c r="AA14" s="22">
        <f t="shared" ca="1" si="5"/>
        <v>41.386220393280588</v>
      </c>
      <c r="AB14" s="22">
        <f t="shared" ca="1" si="5"/>
        <v>90.39906173496351</v>
      </c>
      <c r="AC14" s="22">
        <f t="shared" ca="1" si="5"/>
        <v>99.618198319812748</v>
      </c>
      <c r="AD14" s="22">
        <f t="shared" ca="1" si="5"/>
        <v>100</v>
      </c>
      <c r="AE14" s="22">
        <f t="shared" ca="1" si="5"/>
        <v>100</v>
      </c>
      <c r="AF14" s="23">
        <f t="shared" ca="1" si="5"/>
        <v>100</v>
      </c>
      <c r="AG14" s="5"/>
      <c r="AH14" s="24"/>
      <c r="AI14" s="24"/>
      <c r="AJ14" s="5"/>
      <c r="AK14" s="5"/>
      <c r="AL14" s="5"/>
      <c r="AM14" s="5"/>
      <c r="AN14" s="5"/>
      <c r="AO14" s="5"/>
      <c r="AP14" s="5"/>
    </row>
    <row r="15" spans="2:42" ht="13.5" thickBot="1" x14ac:dyDescent="0.2">
      <c r="B15" s="25" t="s">
        <v>41</v>
      </c>
      <c r="C15" s="26">
        <f t="shared" ref="C15:AF15" ca="1" si="6">+$C$6*C13/100</f>
        <v>0</v>
      </c>
      <c r="D15" s="26">
        <f t="shared" ca="1" si="6"/>
        <v>0</v>
      </c>
      <c r="E15" s="26">
        <f t="shared" ca="1" si="6"/>
        <v>0</v>
      </c>
      <c r="F15" s="26">
        <f t="shared" ca="1" si="6"/>
        <v>0</v>
      </c>
      <c r="G15" s="26">
        <f t="shared" ca="1" si="6"/>
        <v>0</v>
      </c>
      <c r="H15" s="26">
        <f t="shared" ca="1" si="6"/>
        <v>0</v>
      </c>
      <c r="I15" s="26">
        <f t="shared" ca="1" si="6"/>
        <v>0</v>
      </c>
      <c r="J15" s="26">
        <f t="shared" ca="1" si="6"/>
        <v>0</v>
      </c>
      <c r="K15" s="26">
        <f t="shared" ca="1" si="6"/>
        <v>0</v>
      </c>
      <c r="L15" s="26">
        <f t="shared" ca="1" si="6"/>
        <v>0</v>
      </c>
      <c r="M15" s="26">
        <f t="shared" ca="1" si="6"/>
        <v>0</v>
      </c>
      <c r="N15" s="26">
        <f t="shared" ca="1" si="6"/>
        <v>0</v>
      </c>
      <c r="O15" s="26">
        <f t="shared" ca="1" si="6"/>
        <v>0</v>
      </c>
      <c r="P15" s="26">
        <f t="shared" ca="1" si="6"/>
        <v>0</v>
      </c>
      <c r="Q15" s="26">
        <f t="shared" ca="1" si="6"/>
        <v>0</v>
      </c>
      <c r="R15" s="26">
        <f t="shared" ca="1" si="6"/>
        <v>0</v>
      </c>
      <c r="S15" s="26">
        <f t="shared" ca="1" si="6"/>
        <v>0</v>
      </c>
      <c r="T15" s="26">
        <f t="shared" ca="1" si="6"/>
        <v>0</v>
      </c>
      <c r="U15" s="26">
        <f t="shared" ca="1" si="6"/>
        <v>0</v>
      </c>
      <c r="V15" s="26">
        <f t="shared" ca="1" si="6"/>
        <v>0</v>
      </c>
      <c r="W15" s="26">
        <f t="shared" ca="1" si="6"/>
        <v>0</v>
      </c>
      <c r="X15" s="26">
        <f t="shared" ca="1" si="6"/>
        <v>0</v>
      </c>
      <c r="Y15" s="26">
        <f t="shared" ca="1" si="6"/>
        <v>1.168355556921197</v>
      </c>
      <c r="Z15" s="26">
        <f t="shared" ca="1" si="6"/>
        <v>3.8143850091222511</v>
      </c>
      <c r="AA15" s="26">
        <f t="shared" ca="1" si="6"/>
        <v>36.403479827237142</v>
      </c>
      <c r="AB15" s="26">
        <f t="shared" ca="1" si="6"/>
        <v>49.012841341682922</v>
      </c>
      <c r="AC15" s="26">
        <f t="shared" ca="1" si="6"/>
        <v>9.2191365848492381</v>
      </c>
      <c r="AD15" s="26">
        <f t="shared" ca="1" si="6"/>
        <v>0.38180168018725169</v>
      </c>
      <c r="AE15" s="26">
        <f t="shared" ca="1" si="6"/>
        <v>0</v>
      </c>
      <c r="AF15" s="27">
        <f t="shared" ca="1" si="6"/>
        <v>0</v>
      </c>
      <c r="AG15" s="5"/>
      <c r="AH15" s="24"/>
      <c r="AI15" s="24"/>
      <c r="AJ15" s="5"/>
      <c r="AK15" s="5"/>
      <c r="AL15" s="5"/>
      <c r="AM15" s="5"/>
      <c r="AN15" s="5"/>
      <c r="AO15" s="5"/>
      <c r="AP15" s="5"/>
    </row>
    <row r="16" spans="2:42" ht="13.5" thickTop="1" x14ac:dyDescent="0.15">
      <c r="E16" s="28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5"/>
      <c r="AK16" s="5"/>
      <c r="AL16" s="5"/>
      <c r="AM16" s="5"/>
      <c r="AN16" s="5"/>
      <c r="AO16" s="5"/>
      <c r="AP16" s="5"/>
    </row>
    <row r="17" spans="1:42" x14ac:dyDescent="0.15">
      <c r="E17" s="28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5"/>
      <c r="AK17" s="5"/>
      <c r="AL17" s="5"/>
      <c r="AM17" s="5"/>
      <c r="AN17" s="5"/>
      <c r="AO17" s="5"/>
      <c r="AP17" s="5"/>
    </row>
    <row r="18" spans="1:42" ht="13.5" thickBot="1" x14ac:dyDescent="0.2"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ht="52.5" customHeight="1" thickTop="1" x14ac:dyDescent="0.15">
      <c r="B19" s="30" t="s">
        <v>42</v>
      </c>
      <c r="C19" s="31" t="s">
        <v>43</v>
      </c>
      <c r="D19" s="31" t="s">
        <v>44</v>
      </c>
      <c r="E19" s="32" t="s">
        <v>45</v>
      </c>
      <c r="F19" s="33" t="s">
        <v>46</v>
      </c>
      <c r="G19" s="34" t="s">
        <v>47</v>
      </c>
    </row>
    <row r="20" spans="1:42" ht="15" x14ac:dyDescent="0.2">
      <c r="A20" s="29">
        <f>C4</f>
        <v>44652</v>
      </c>
      <c r="B20" s="35">
        <v>0</v>
      </c>
      <c r="C20" s="36">
        <f t="shared" ref="C20:C51" si="7">+B20/$C$5*100</f>
        <v>0</v>
      </c>
      <c r="D20" s="37">
        <f>IF(C20&lt;=0,0,IF((Coefficients!$C$2+Coefficients!$C$4*C20+Coefficients!$C$6*C20^2+Coefficients!$C$8*C20^3+Coefficients!$C$10*C20^4)/(1+Coefficients!$C$3*C20+Coefficients!$C$5*C20^2+Coefficients!$C$7*C20^3+Coefficients!$C$9*C20^4+Coefficients!$C$11*C20^5)&gt;=100,100,(Coefficients!$C$2+Coefficients!$C$4*C20+Coefficients!$C$6*C20^2+Coefficients!$C$8*C20^3+Coefficients!$C$10*C20^4)/(1+Coefficients!$C$3*C20+Coefficients!$C$5*C20^2+Coefficients!$C$7*C20^3+Coefficients!$C$9*C20^4+Coefficients!$C$11*C20^5)))</f>
        <v>0</v>
      </c>
      <c r="E20" s="38">
        <f>+D20</f>
        <v>0</v>
      </c>
      <c r="F20" s="39">
        <f t="shared" ref="F20:F51" si="8">$C$6*(E20/100)</f>
        <v>0</v>
      </c>
      <c r="G20" s="40">
        <f>F20</f>
        <v>0</v>
      </c>
      <c r="H20" s="41"/>
      <c r="I20" s="42"/>
    </row>
    <row r="21" spans="1:42" ht="15" x14ac:dyDescent="0.2">
      <c r="A21" s="29">
        <f>A20+((B21-B20)*365.25/12)</f>
        <v>44682.4375</v>
      </c>
      <c r="B21" s="35">
        <f t="shared" ref="B21:B52" si="9">+IF(B20+1&gt;=$C$5*1.2,$C$5*1.2,B20+1)</f>
        <v>1</v>
      </c>
      <c r="C21" s="36">
        <f t="shared" si="7"/>
        <v>2.2714552238805972</v>
      </c>
      <c r="D21" s="37">
        <f>IF(C21&lt;=0,0,IF((Coefficients!$C$2+Coefficients!$C$4*C21+Coefficients!$C$6*C21^2+Coefficients!$C$8*C21^3+Coefficients!$C$10*C21^4)/(1+Coefficients!$C$3*C21+Coefficients!$C$5*C21^2+Coefficients!$C$7*C21^3+Coefficients!$C$9*C21^4+Coefficients!$C$11*C21^5)&gt;=100,100,(Coefficients!$C$2+Coefficients!$C$4*C21+Coefficients!$C$6*C21^2+Coefficients!$C$8*C21^3+Coefficients!$C$10*C21^4)/(1+Coefficients!$C$3*C21+Coefficients!$C$5*C21^2+Coefficients!$C$7*C21^3+Coefficients!$C$9*C21^4+Coefficients!$C$11*C21^5)))</f>
        <v>0.84526328453667066</v>
      </c>
      <c r="E21" s="38">
        <f t="shared" ref="E21:E52" si="10">+D21-D20</f>
        <v>0.84526328453667066</v>
      </c>
      <c r="F21" s="39">
        <f t="shared" si="8"/>
        <v>0.84526328453667066</v>
      </c>
      <c r="G21" s="40">
        <f t="shared" ref="G21:G52" si="11">IF(D20=100,G20,G20+F21)</f>
        <v>0.84526328453667066</v>
      </c>
      <c r="H21" s="43"/>
      <c r="I21" s="42"/>
    </row>
    <row r="22" spans="1:42" ht="15" x14ac:dyDescent="0.2">
      <c r="A22" s="29">
        <f>A21+((B22-B21)*365.25/12)</f>
        <v>44712.875</v>
      </c>
      <c r="B22" s="35">
        <f t="shared" si="9"/>
        <v>2</v>
      </c>
      <c r="C22" s="36">
        <f t="shared" si="7"/>
        <v>4.5429104477611943</v>
      </c>
      <c r="D22" s="37">
        <f>IF(C22&lt;=0,0,IF((Coefficients!$C$2+Coefficients!$C$4*C22+Coefficients!$C$6*C22^2+Coefficients!$C$8*C22^3+Coefficients!$C$10*C22^4)/(1+Coefficients!$C$3*C22+Coefficients!$C$5*C22^2+Coefficients!$C$7*C22^3+Coefficients!$C$9*C22^4+Coefficients!$C$11*C22^5)&gt;=100,100,(Coefficients!$C$2+Coefficients!$C$4*C22+Coefficients!$C$6*C22^2+Coefficients!$C$8*C22^3+Coefficients!$C$10*C22^4)/(1+Coefficients!$C$3*C22+Coefficients!$C$5*C22^2+Coefficients!$C$7*C22^3+Coefficients!$C$9*C22^4+Coefficients!$C$11*C22^5)))</f>
        <v>0.99855150287533068</v>
      </c>
      <c r="E22" s="38">
        <f t="shared" si="10"/>
        <v>0.15328821833866002</v>
      </c>
      <c r="F22" s="39">
        <f t="shared" si="8"/>
        <v>0.15328821833866002</v>
      </c>
      <c r="G22" s="40">
        <f t="shared" si="11"/>
        <v>0.99855150287533068</v>
      </c>
      <c r="H22" s="43"/>
      <c r="I22" s="42"/>
    </row>
    <row r="23" spans="1:42" ht="15" x14ac:dyDescent="0.2">
      <c r="A23" s="29">
        <f t="shared" ref="A23:A52" si="12">A22+((B23-B22)*365.25/12)</f>
        <v>44743.3125</v>
      </c>
      <c r="B23" s="35">
        <f t="shared" si="9"/>
        <v>3</v>
      </c>
      <c r="C23" s="36">
        <f t="shared" si="7"/>
        <v>6.8143656716417906</v>
      </c>
      <c r="D23" s="37">
        <f>IF(C23&lt;=0,0,IF((Coefficients!$C$2+Coefficients!$C$4*C23+Coefficients!$C$6*C23^2+Coefficients!$C$8*C23^3+Coefficients!$C$10*C23^4)/(1+Coefficients!$C$3*C23+Coefficients!$C$5*C23^2+Coefficients!$C$7*C23^3+Coefficients!$C$9*C23^4+Coefficients!$C$11*C23^5)&gt;=100,100,(Coefficients!$C$2+Coefficients!$C$4*C23+Coefficients!$C$6*C23^2+Coefficients!$C$8*C23^3+Coefficients!$C$10*C23^4)/(1+Coefficients!$C$3*C23+Coefficients!$C$5*C23^2+Coefficients!$C$7*C23^3+Coefficients!$C$9*C23^4+Coefficients!$C$11*C23^5)))</f>
        <v>1.168355556921197</v>
      </c>
      <c r="E23" s="38">
        <f t="shared" si="10"/>
        <v>0.16980405404586629</v>
      </c>
      <c r="F23" s="39">
        <f t="shared" si="8"/>
        <v>0.16980405404586629</v>
      </c>
      <c r="G23" s="40">
        <f t="shared" si="11"/>
        <v>1.168355556921197</v>
      </c>
      <c r="H23" s="43"/>
      <c r="I23" s="42"/>
    </row>
    <row r="24" spans="1:42" ht="15" x14ac:dyDescent="0.2">
      <c r="A24" s="29">
        <f t="shared" si="12"/>
        <v>44773.75</v>
      </c>
      <c r="B24" s="35">
        <f t="shared" si="9"/>
        <v>4</v>
      </c>
      <c r="C24" s="36">
        <f t="shared" si="7"/>
        <v>9.0858208955223887</v>
      </c>
      <c r="D24" s="37">
        <f>IF(C24&lt;=0,0,IF((Coefficients!$C$2+Coefficients!$C$4*C24+Coefficients!$C$6*C24^2+Coefficients!$C$8*C24^3+Coefficients!$C$10*C24^4)/(1+Coefficients!$C$3*C24+Coefficients!$C$5*C24^2+Coefficients!$C$7*C24^3+Coefficients!$C$9*C24^4+Coefficients!$C$11*C24^5)&gt;=100,100,(Coefficients!$C$2+Coefficients!$C$4*C24+Coefficients!$C$6*C24^2+Coefficients!$C$8*C24^3+Coefficients!$C$10*C24^4)/(1+Coefficients!$C$3*C24+Coefficients!$C$5*C24^2+Coefficients!$C$7*C24^3+Coefficients!$C$9*C24^4+Coefficients!$C$11*C24^5)))</f>
        <v>1.355975301916561</v>
      </c>
      <c r="E24" s="38">
        <f t="shared" si="10"/>
        <v>0.18761974499536405</v>
      </c>
      <c r="F24" s="39">
        <f t="shared" si="8"/>
        <v>0.18761974499536405</v>
      </c>
      <c r="G24" s="40">
        <f t="shared" si="11"/>
        <v>1.355975301916561</v>
      </c>
      <c r="H24" s="43"/>
      <c r="I24" s="42"/>
    </row>
    <row r="25" spans="1:42" ht="15" x14ac:dyDescent="0.2">
      <c r="A25" s="29">
        <f t="shared" si="12"/>
        <v>44804.1875</v>
      </c>
      <c r="B25" s="35">
        <f t="shared" si="9"/>
        <v>5</v>
      </c>
      <c r="C25" s="36">
        <f t="shared" si="7"/>
        <v>11.357276119402984</v>
      </c>
      <c r="D25" s="37">
        <f>IF(C25&lt;=0,0,IF((Coefficients!$C$2+Coefficients!$C$4*C25+Coefficients!$C$6*C25^2+Coefficients!$C$8*C25^3+Coefficients!$C$10*C25^4)/(1+Coefficients!$C$3*C25+Coefficients!$C$5*C25^2+Coefficients!$C$7*C25^3+Coefficients!$C$9*C25^4+Coefficients!$C$11*C25^5)&gt;=100,100,(Coefficients!$C$2+Coefficients!$C$4*C25+Coefficients!$C$6*C25^2+Coefficients!$C$8*C25^3+Coefficients!$C$10*C25^4)/(1+Coefficients!$C$3*C25+Coefficients!$C$5*C25^2+Coefficients!$C$7*C25^3+Coefficients!$C$9*C25^4+Coefficients!$C$11*C25^5)))</f>
        <v>1.5626877823049794</v>
      </c>
      <c r="E25" s="38">
        <f t="shared" si="10"/>
        <v>0.20671248038841838</v>
      </c>
      <c r="F25" s="39">
        <f t="shared" si="8"/>
        <v>0.20671248038841836</v>
      </c>
      <c r="G25" s="40">
        <f t="shared" si="11"/>
        <v>1.5626877823049794</v>
      </c>
      <c r="H25" s="43"/>
      <c r="I25" s="42"/>
    </row>
    <row r="26" spans="1:42" ht="15" x14ac:dyDescent="0.2">
      <c r="A26" s="29">
        <f t="shared" si="12"/>
        <v>44834.625</v>
      </c>
      <c r="B26" s="35">
        <f t="shared" si="9"/>
        <v>6</v>
      </c>
      <c r="C26" s="36">
        <f t="shared" si="7"/>
        <v>13.628731343283581</v>
      </c>
      <c r="D26" s="37">
        <f>IF(C26&lt;=0,0,IF((Coefficients!$C$2+Coefficients!$C$4*C26+Coefficients!$C$6*C26^2+Coefficients!$C$8*C26^3+Coefficients!$C$10*C26^4)/(1+Coefficients!$C$3*C26+Coefficients!$C$5*C26^2+Coefficients!$C$7*C26^3+Coefficients!$C$9*C26^4+Coefficients!$C$11*C26^5)&gt;=100,100,(Coefficients!$C$2+Coefficients!$C$4*C26+Coefficients!$C$6*C26^2+Coefficients!$C$8*C26^3+Coefficients!$C$10*C26^4)/(1+Coefficients!$C$3*C26+Coefficients!$C$5*C26^2+Coefficients!$C$7*C26^3+Coefficients!$C$9*C26^4+Coefficients!$C$11*C26^5)))</f>
        <v>1.7896991895840273</v>
      </c>
      <c r="E26" s="38">
        <f t="shared" si="10"/>
        <v>0.22701140727904789</v>
      </c>
      <c r="F26" s="39">
        <f t="shared" si="8"/>
        <v>0.22701140727904792</v>
      </c>
      <c r="G26" s="40">
        <f t="shared" si="11"/>
        <v>1.7896991895840273</v>
      </c>
      <c r="H26" s="43"/>
      <c r="I26" s="42"/>
    </row>
    <row r="27" spans="1:42" ht="15" x14ac:dyDescent="0.2">
      <c r="A27" s="29">
        <f t="shared" si="12"/>
        <v>44865.0625</v>
      </c>
      <c r="B27" s="35">
        <f t="shared" si="9"/>
        <v>7</v>
      </c>
      <c r="C27" s="36">
        <f t="shared" si="7"/>
        <v>15.900186567164178</v>
      </c>
      <c r="D27" s="37">
        <f>IF(C27&lt;=0,0,IF((Coefficients!$C$2+Coefficients!$C$4*C27+Coefficients!$C$6*C27^2+Coefficients!$C$8*C27^3+Coefficients!$C$10*C27^4)/(1+Coefficients!$C$3*C27+Coefficients!$C$5*C27^2+Coefficients!$C$7*C27^3+Coefficients!$C$9*C27^4+Coefficients!$C$11*C27^5)&gt;=100,100,(Coefficients!$C$2+Coefficients!$C$4*C27+Coefficients!$C$6*C27^2+Coefficients!$C$8*C27^3+Coefficients!$C$10*C27^4)/(1+Coefficients!$C$3*C27+Coefficients!$C$5*C27^2+Coefficients!$C$7*C27^3+Coefficients!$C$9*C27^4+Coefficients!$C$11*C27^5)))</f>
        <v>2.0380879568859323</v>
      </c>
      <c r="E27" s="38">
        <f t="shared" si="10"/>
        <v>0.24838876730190496</v>
      </c>
      <c r="F27" s="39">
        <f t="shared" si="8"/>
        <v>0.24838876730190496</v>
      </c>
      <c r="G27" s="40">
        <f t="shared" si="11"/>
        <v>2.0380879568859323</v>
      </c>
      <c r="H27" s="43"/>
      <c r="I27" s="42"/>
    </row>
    <row r="28" spans="1:42" ht="15" x14ac:dyDescent="0.2">
      <c r="A28" s="29">
        <f t="shared" si="12"/>
        <v>44895.5</v>
      </c>
      <c r="B28" s="35">
        <f t="shared" si="9"/>
        <v>8</v>
      </c>
      <c r="C28" s="36">
        <f t="shared" si="7"/>
        <v>18.171641791044777</v>
      </c>
      <c r="D28" s="37">
        <f>IF(C28&lt;=0,0,IF((Coefficients!$C$2+Coefficients!$C$4*C28+Coefficients!$C$6*C28^2+Coefficients!$C$8*C28^3+Coefficients!$C$10*C28^4)/(1+Coefficients!$C$3*C28+Coefficients!$C$5*C28^2+Coefficients!$C$7*C28^3+Coefficients!$C$9*C28^4+Coefficients!$C$11*C28^5)&gt;=100,100,(Coefficients!$C$2+Coefficients!$C$4*C28+Coefficients!$C$6*C28^2+Coefficients!$C$8*C28^3+Coefficients!$C$10*C28^4)/(1+Coefficients!$C$3*C28+Coefficients!$C$5*C28^2+Coefficients!$C$7*C28^3+Coefficients!$C$9*C28^4+Coefficients!$C$11*C28^5)))</f>
        <v>2.3087491919494019</v>
      </c>
      <c r="E28" s="38">
        <f t="shared" si="10"/>
        <v>0.27066123506346962</v>
      </c>
      <c r="F28" s="39">
        <f t="shared" si="8"/>
        <v>0.27066123506346962</v>
      </c>
      <c r="G28" s="40">
        <f t="shared" si="11"/>
        <v>2.3087491919494019</v>
      </c>
      <c r="H28" s="43"/>
      <c r="I28" s="42"/>
    </row>
    <row r="29" spans="1:42" ht="15" x14ac:dyDescent="0.2">
      <c r="A29" s="29">
        <f t="shared" si="12"/>
        <v>44925.9375</v>
      </c>
      <c r="B29" s="35">
        <f t="shared" si="9"/>
        <v>9</v>
      </c>
      <c r="C29" s="36">
        <f t="shared" si="7"/>
        <v>20.443097014925371</v>
      </c>
      <c r="D29" s="37">
        <f>IF(C29&lt;=0,0,IF((Coefficients!$C$2+Coefficients!$C$4*C29+Coefficients!$C$6*C29^2+Coefficients!$C$8*C29^3+Coefficients!$C$10*C29^4)/(1+Coefficients!$C$3*C29+Coefficients!$C$5*C29^2+Coefficients!$C$7*C29^3+Coefficients!$C$9*C29^4+Coefficients!$C$11*C29^5)&gt;=100,100,(Coefficients!$C$2+Coefficients!$C$4*C29+Coefficients!$C$6*C29^2+Coefficients!$C$8*C29^3+Coefficients!$C$10*C29^4)/(1+Coefficients!$C$3*C29+Coefficients!$C$5*C29^2+Coefficients!$C$7*C29^3+Coefficients!$C$9*C29^4+Coefficients!$C$11*C29^5)))</f>
        <v>2.6023684016757724</v>
      </c>
      <c r="E29" s="38">
        <f t="shared" si="10"/>
        <v>0.29361920972637057</v>
      </c>
      <c r="F29" s="39">
        <f t="shared" si="8"/>
        <v>0.29361920972637057</v>
      </c>
      <c r="G29" s="40">
        <f t="shared" si="11"/>
        <v>2.6023684016757724</v>
      </c>
      <c r="H29" s="43"/>
      <c r="I29" s="42"/>
    </row>
    <row r="30" spans="1:42" ht="15" x14ac:dyDescent="0.2">
      <c r="A30" s="29">
        <f t="shared" si="12"/>
        <v>44956.375</v>
      </c>
      <c r="B30" s="35">
        <f t="shared" si="9"/>
        <v>10</v>
      </c>
      <c r="C30" s="36">
        <f t="shared" si="7"/>
        <v>22.714552238805968</v>
      </c>
      <c r="D30" s="37">
        <f>IF(C30&lt;=0,0,IF((Coefficients!$C$2+Coefficients!$C$4*C30+Coefficients!$C$6*C30^2+Coefficients!$C$8*C30^3+Coefficients!$C$10*C30^4)/(1+Coefficients!$C$3*C30+Coefficients!$C$5*C30^2+Coefficients!$C$7*C30^3+Coefficients!$C$9*C30^4+Coefficients!$C$11*C30^5)&gt;=100,100,(Coefficients!$C$2+Coefficients!$C$4*C30+Coefficients!$C$6*C30^2+Coefficients!$C$8*C30^3+Coefficients!$C$10*C30^4)/(1+Coefficients!$C$3*C30+Coefficients!$C$5*C30^2+Coefficients!$C$7*C30^3+Coefficients!$C$9*C30^4+Coefficients!$C$11*C30^5)))</f>
        <v>2.919491161495912</v>
      </c>
      <c r="E30" s="38">
        <f t="shared" si="10"/>
        <v>0.3171227598201396</v>
      </c>
      <c r="F30" s="39">
        <f t="shared" si="8"/>
        <v>0.3171227598201396</v>
      </c>
      <c r="G30" s="40">
        <f t="shared" si="11"/>
        <v>2.919491161495912</v>
      </c>
      <c r="H30" s="43"/>
      <c r="I30" s="42"/>
    </row>
    <row r="31" spans="1:42" ht="15" x14ac:dyDescent="0.2">
      <c r="A31" s="29">
        <f t="shared" si="12"/>
        <v>44986.8125</v>
      </c>
      <c r="B31" s="35">
        <f t="shared" si="9"/>
        <v>11</v>
      </c>
      <c r="C31" s="36">
        <f t="shared" si="7"/>
        <v>24.986007462686565</v>
      </c>
      <c r="D31" s="37">
        <f>IF(C31&lt;=0,0,IF((Coefficients!$C$2+Coefficients!$C$4*C31+Coefficients!$C$6*C31^2+Coefficients!$C$8*C31^3+Coefficients!$C$10*C31^4)/(1+Coefficients!$C$3*C31+Coefficients!$C$5*C31^2+Coefficients!$C$7*C31^3+Coefficients!$C$9*C31^4+Coefficients!$C$11*C31^5)&gt;=100,100,(Coefficients!$C$2+Coefficients!$C$4*C31+Coefficients!$C$6*C31^2+Coefficients!$C$8*C31^3+Coefficients!$C$10*C31^4)/(1+Coefficients!$C$3*C31+Coefficients!$C$5*C31^2+Coefficients!$C$7*C31^3+Coefficients!$C$9*C31^4+Coefficients!$C$11*C31^5)))</f>
        <v>3.2608373029451969</v>
      </c>
      <c r="E31" s="38">
        <f t="shared" si="10"/>
        <v>0.34134614144928488</v>
      </c>
      <c r="F31" s="39">
        <f t="shared" si="8"/>
        <v>0.34134614144928488</v>
      </c>
      <c r="G31" s="40">
        <f t="shared" si="11"/>
        <v>3.2608373029451969</v>
      </c>
      <c r="H31" s="43"/>
      <c r="I31" s="42"/>
    </row>
    <row r="32" spans="1:42" ht="15" x14ac:dyDescent="0.2">
      <c r="A32" s="29">
        <f t="shared" si="12"/>
        <v>45017.25</v>
      </c>
      <c r="B32" s="35">
        <f t="shared" si="9"/>
        <v>12</v>
      </c>
      <c r="C32" s="36">
        <f t="shared" si="7"/>
        <v>27.257462686567163</v>
      </c>
      <c r="D32" s="37">
        <f>IF(C32&lt;=0,0,IF((Coefficients!$C$2+Coefficients!$C$4*C32+Coefficients!$C$6*C32^2+Coefficients!$C$8*C32^3+Coefficients!$C$10*C32^4)/(1+Coefficients!$C$3*C32+Coefficients!$C$5*C32^2+Coefficients!$C$7*C32^3+Coefficients!$C$9*C32^4+Coefficients!$C$11*C32^5)&gt;=100,100,(Coefficients!$C$2+Coefficients!$C$4*C32+Coefficients!$C$6*C32^2+Coefficients!$C$8*C32^3+Coefficients!$C$10*C32^4)/(1+Coefficients!$C$3*C32+Coefficients!$C$5*C32^2+Coefficients!$C$7*C32^3+Coefficients!$C$9*C32^4+Coefficients!$C$11*C32^5)))</f>
        <v>3.6281766191042482</v>
      </c>
      <c r="E32" s="38">
        <f t="shared" si="10"/>
        <v>0.36733931615905124</v>
      </c>
      <c r="F32" s="39">
        <f t="shared" si="8"/>
        <v>0.36733931615905124</v>
      </c>
      <c r="G32" s="40">
        <f t="shared" si="11"/>
        <v>3.6281766191042482</v>
      </c>
      <c r="H32" s="43"/>
      <c r="I32" s="42"/>
    </row>
    <row r="33" spans="1:9" ht="15" x14ac:dyDescent="0.2">
      <c r="A33" s="29">
        <f t="shared" si="12"/>
        <v>45047.6875</v>
      </c>
      <c r="B33" s="35">
        <f t="shared" si="9"/>
        <v>13</v>
      </c>
      <c r="C33" s="36">
        <f t="shared" si="7"/>
        <v>29.52891791044776</v>
      </c>
      <c r="D33" s="37">
        <f>IF(C33&lt;=0,0,IF((Coefficients!$C$2+Coefficients!$C$4*C33+Coefficients!$C$6*C33^2+Coefficients!$C$8*C33^3+Coefficients!$C$10*C33^4)/(1+Coefficients!$C$3*C33+Coefficients!$C$5*C33^2+Coefficients!$C$7*C33^3+Coefficients!$C$9*C33^4+Coefficients!$C$11*C33^5)&gt;=100,100,(Coefficients!$C$2+Coefficients!$C$4*C33+Coefficients!$C$6*C33^2+Coefficients!$C$8*C33^3+Coefficients!$C$10*C33^4)/(1+Coefficients!$C$3*C33+Coefficients!$C$5*C33^2+Coefficients!$C$7*C33^3+Coefficients!$C$9*C33^4+Coefficients!$C$11*C33^5)))</f>
        <v>4.0264146081833081</v>
      </c>
      <c r="E33" s="38">
        <f t="shared" si="10"/>
        <v>0.39823798907905994</v>
      </c>
      <c r="F33" s="39">
        <f t="shared" si="8"/>
        <v>0.39823798907905994</v>
      </c>
      <c r="G33" s="40">
        <f t="shared" si="11"/>
        <v>4.0264146081833081</v>
      </c>
      <c r="H33" s="43"/>
      <c r="I33" s="42"/>
    </row>
    <row r="34" spans="1:9" ht="15" x14ac:dyDescent="0.2">
      <c r="A34" s="29">
        <f t="shared" si="12"/>
        <v>45078.125</v>
      </c>
      <c r="B34" s="35">
        <f t="shared" si="9"/>
        <v>14</v>
      </c>
      <c r="C34" s="36">
        <f t="shared" si="7"/>
        <v>31.800373134328357</v>
      </c>
      <c r="D34" s="37">
        <f>IF(C34&lt;=0,0,IF((Coefficients!$C$2+Coefficients!$C$4*C34+Coefficients!$C$6*C34^2+Coefficients!$C$8*C34^3+Coefficients!$C$10*C34^4)/(1+Coefficients!$C$3*C34+Coefficients!$C$5*C34^2+Coefficients!$C$7*C34^3+Coefficients!$C$9*C34^4+Coefficients!$C$11*C34^5)&gt;=100,100,(Coefficients!$C$2+Coefficients!$C$4*C34+Coefficients!$C$6*C34^2+Coefficients!$C$8*C34^3+Coefficients!$C$10*C34^4)/(1+Coefficients!$C$3*C34+Coefficients!$C$5*C34^2+Coefficients!$C$7*C34^3+Coefficients!$C$9*C34^4+Coefficients!$C$11*C34^5)))</f>
        <v>4.4681362813110281</v>
      </c>
      <c r="E34" s="38">
        <f t="shared" si="10"/>
        <v>0.44172167312772004</v>
      </c>
      <c r="F34" s="39">
        <f t="shared" si="8"/>
        <v>0.44172167312772004</v>
      </c>
      <c r="G34" s="40">
        <f t="shared" si="11"/>
        <v>4.4681362813110281</v>
      </c>
      <c r="H34" s="43"/>
      <c r="I34" s="42"/>
    </row>
    <row r="35" spans="1:9" ht="15" x14ac:dyDescent="0.2">
      <c r="A35" s="29">
        <f t="shared" si="12"/>
        <v>45108.5625</v>
      </c>
      <c r="B35" s="35">
        <f t="shared" si="9"/>
        <v>15</v>
      </c>
      <c r="C35" s="36">
        <f t="shared" si="7"/>
        <v>34.071828358208954</v>
      </c>
      <c r="D35" s="37">
        <f>IF(C35&lt;=0,0,IF((Coefficients!$C$2+Coefficients!$C$4*C35+Coefficients!$C$6*C35^2+Coefficients!$C$8*C35^3+Coefficients!$C$10*C35^4)/(1+Coefficients!$C$3*C35+Coefficients!$C$5*C35^2+Coefficients!$C$7*C35^3+Coefficients!$C$9*C35^4+Coefficients!$C$11*C35^5)&gt;=100,100,(Coefficients!$C$2+Coefficients!$C$4*C35+Coefficients!$C$6*C35^2+Coefficients!$C$8*C35^3+Coefficients!$C$10*C35^4)/(1+Coefficients!$C$3*C35+Coefficients!$C$5*C35^2+Coefficients!$C$7*C35^3+Coefficients!$C$9*C35^4+Coefficients!$C$11*C35^5)))</f>
        <v>4.9827405660434483</v>
      </c>
      <c r="E35" s="38">
        <f t="shared" si="10"/>
        <v>0.51460428473242015</v>
      </c>
      <c r="F35" s="39">
        <f t="shared" si="8"/>
        <v>0.51460428473242015</v>
      </c>
      <c r="G35" s="40">
        <f t="shared" si="11"/>
        <v>4.9827405660434483</v>
      </c>
      <c r="H35" s="43"/>
      <c r="I35" s="42"/>
    </row>
    <row r="36" spans="1:9" ht="15" x14ac:dyDescent="0.2">
      <c r="A36" s="29">
        <f t="shared" si="12"/>
        <v>45139</v>
      </c>
      <c r="B36" s="35">
        <f t="shared" si="9"/>
        <v>16</v>
      </c>
      <c r="C36" s="36">
        <f t="shared" si="7"/>
        <v>36.343283582089555</v>
      </c>
      <c r="D36" s="37">
        <f>IF(C36&lt;=0,0,IF((Coefficients!$C$2+Coefficients!$C$4*C36+Coefficients!$C$6*C36^2+Coefficients!$C$8*C36^3+Coefficients!$C$10*C36^4)/(1+Coefficients!$C$3*C36+Coefficients!$C$5*C36^2+Coefficients!$C$7*C36^3+Coefficients!$C$9*C36^4+Coefficients!$C$11*C36^5)&gt;=100,100,(Coefficients!$C$2+Coefficients!$C$4*C36+Coefficients!$C$6*C36^2+Coefficients!$C$8*C36^3+Coefficients!$C$10*C36^4)/(1+Coefficients!$C$3*C36+Coefficients!$C$5*C36^2+Coefficients!$C$7*C36^3+Coefficients!$C$9*C36^4+Coefficients!$C$11*C36^5)))</f>
        <v>5.6328534316936452</v>
      </c>
      <c r="E36" s="38">
        <f t="shared" si="10"/>
        <v>0.65011286565019688</v>
      </c>
      <c r="F36" s="39">
        <f t="shared" si="8"/>
        <v>0.65011286565019688</v>
      </c>
      <c r="G36" s="40">
        <f t="shared" si="11"/>
        <v>5.6328534316936452</v>
      </c>
      <c r="H36" s="43"/>
      <c r="I36" s="42"/>
    </row>
    <row r="37" spans="1:9" ht="15" x14ac:dyDescent="0.2">
      <c r="A37" s="29">
        <f t="shared" si="12"/>
        <v>45169.4375</v>
      </c>
      <c r="B37" s="35">
        <f t="shared" si="9"/>
        <v>17</v>
      </c>
      <c r="C37" s="36">
        <f t="shared" si="7"/>
        <v>38.614738805970141</v>
      </c>
      <c r="D37" s="37">
        <f>IF(C37&lt;=0,0,IF((Coefficients!$C$2+Coefficients!$C$4*C37+Coefficients!$C$6*C37^2+Coefficients!$C$8*C37^3+Coefficients!$C$10*C37^4)/(1+Coefficients!$C$3*C37+Coefficients!$C$5*C37^2+Coefficients!$C$7*C37^3+Coefficients!$C$9*C37^4+Coefficients!$C$11*C37^5)&gt;=100,100,(Coefficients!$C$2+Coefficients!$C$4*C37+Coefficients!$C$6*C37^2+Coefficients!$C$8*C37^3+Coefficients!$C$10*C37^4)/(1+Coefficients!$C$3*C37+Coefficients!$C$5*C37^2+Coefficients!$C$7*C37^3+Coefficients!$C$9*C37^4+Coefficients!$C$11*C37^5)))</f>
        <v>6.5380700715009263</v>
      </c>
      <c r="E37" s="38">
        <f t="shared" si="10"/>
        <v>0.90521663980728118</v>
      </c>
      <c r="F37" s="39">
        <f t="shared" si="8"/>
        <v>0.90521663980728118</v>
      </c>
      <c r="G37" s="40">
        <f t="shared" si="11"/>
        <v>6.5380700715009263</v>
      </c>
      <c r="H37" s="43"/>
      <c r="I37" s="42"/>
    </row>
    <row r="38" spans="1:9" ht="15" x14ac:dyDescent="0.2">
      <c r="A38" s="29">
        <f t="shared" si="12"/>
        <v>45199.875</v>
      </c>
      <c r="B38" s="35">
        <f t="shared" si="9"/>
        <v>18</v>
      </c>
      <c r="C38" s="36">
        <f t="shared" si="7"/>
        <v>40.886194029850742</v>
      </c>
      <c r="D38" s="37">
        <f>IF(C38&lt;=0,0,IF((Coefficients!$C$2+Coefficients!$C$4*C38+Coefficients!$C$6*C38^2+Coefficients!$C$8*C38^3+Coefficients!$C$10*C38^4)/(1+Coefficients!$C$3*C38+Coefficients!$C$5*C38^2+Coefficients!$C$7*C38^3+Coefficients!$C$9*C38^4+Coefficients!$C$11*C38^5)&gt;=100,100,(Coefficients!$C$2+Coefficients!$C$4*C38+Coefficients!$C$6*C38^2+Coefficients!$C$8*C38^3+Coefficients!$C$10*C38^4)/(1+Coefficients!$C$3*C38+Coefficients!$C$5*C38^2+Coefficients!$C$7*C38^3+Coefficients!$C$9*C38^4+Coefficients!$C$11*C38^5)))</f>
        <v>7.8929471714200767</v>
      </c>
      <c r="E38" s="38">
        <f t="shared" si="10"/>
        <v>1.3548770999191504</v>
      </c>
      <c r="F38" s="39">
        <f t="shared" si="8"/>
        <v>1.3548770999191504</v>
      </c>
      <c r="G38" s="40">
        <f t="shared" si="11"/>
        <v>7.8929471714200767</v>
      </c>
      <c r="H38" s="43"/>
      <c r="I38" s="42"/>
    </row>
    <row r="39" spans="1:9" ht="15" x14ac:dyDescent="0.2">
      <c r="A39" s="29">
        <f t="shared" si="12"/>
        <v>45230.3125</v>
      </c>
      <c r="B39" s="35">
        <f t="shared" si="9"/>
        <v>19</v>
      </c>
      <c r="C39" s="36">
        <f t="shared" si="7"/>
        <v>43.157649253731343</v>
      </c>
      <c r="D39" s="37">
        <f>IF(C39&lt;=0,0,IF((Coefficients!$C$2+Coefficients!$C$4*C39+Coefficients!$C$6*C39^2+Coefficients!$C$8*C39^3+Coefficients!$C$10*C39^4)/(1+Coefficients!$C$3*C39+Coefficients!$C$5*C39^2+Coefficients!$C$7*C39^3+Coefficients!$C$9*C39^4+Coefficients!$C$11*C39^5)&gt;=100,100,(Coefficients!$C$2+Coefficients!$C$4*C39+Coefficients!$C$6*C39^2+Coefficients!$C$8*C39^3+Coefficients!$C$10*C39^4)/(1+Coefficients!$C$3*C39+Coefficients!$C$5*C39^2+Coefficients!$C$7*C39^3+Coefficients!$C$9*C39^4+Coefficients!$C$11*C39^5)))</f>
        <v>9.9377941823541374</v>
      </c>
      <c r="E39" s="38">
        <f t="shared" si="10"/>
        <v>2.0448470109340606</v>
      </c>
      <c r="F39" s="39">
        <f t="shared" si="8"/>
        <v>2.0448470109340606</v>
      </c>
      <c r="G39" s="40">
        <f t="shared" si="11"/>
        <v>9.9377941823541374</v>
      </c>
      <c r="H39" s="43"/>
      <c r="I39" s="42"/>
    </row>
    <row r="40" spans="1:9" ht="15" x14ac:dyDescent="0.2">
      <c r="A40" s="29">
        <f t="shared" si="12"/>
        <v>45260.75</v>
      </c>
      <c r="B40" s="35">
        <f t="shared" si="9"/>
        <v>20</v>
      </c>
      <c r="C40" s="36">
        <f t="shared" si="7"/>
        <v>45.429104477611936</v>
      </c>
      <c r="D40" s="37">
        <f>IF(C40&lt;=0,0,IF((Coefficients!$C$2+Coefficients!$C$4*C40+Coefficients!$C$6*C40^2+Coefficients!$C$8*C40^3+Coefficients!$C$10*C40^4)/(1+Coefficients!$C$3*C40+Coefficients!$C$5*C40^2+Coefficients!$C$7*C40^3+Coefficients!$C$9*C40^4+Coefficients!$C$11*C40^5)&gt;=100,100,(Coefficients!$C$2+Coefficients!$C$4*C40+Coefficients!$C$6*C40^2+Coefficients!$C$8*C40^3+Coefficients!$C$10*C40^4)/(1+Coefficients!$C$3*C40+Coefficients!$C$5*C40^2+Coefficients!$C$7*C40^3+Coefficients!$C$9*C40^4+Coefficients!$C$11*C40^5)))</f>
        <v>12.833870626642685</v>
      </c>
      <c r="E40" s="38">
        <f t="shared" si="10"/>
        <v>2.896076444288548</v>
      </c>
      <c r="F40" s="39">
        <f t="shared" si="8"/>
        <v>2.896076444288548</v>
      </c>
      <c r="G40" s="40">
        <f t="shared" si="11"/>
        <v>12.833870626642685</v>
      </c>
      <c r="H40" s="43"/>
      <c r="I40" s="42"/>
    </row>
    <row r="41" spans="1:9" ht="15" x14ac:dyDescent="0.2">
      <c r="A41" s="29">
        <f t="shared" si="12"/>
        <v>45291.1875</v>
      </c>
      <c r="B41" s="35">
        <f t="shared" si="9"/>
        <v>21</v>
      </c>
      <c r="C41" s="36">
        <f t="shared" si="7"/>
        <v>47.700559701492537</v>
      </c>
      <c r="D41" s="37">
        <f>IF(C41&lt;=0,0,IF((Coefficients!$C$2+Coefficients!$C$4*C41+Coefficients!$C$6*C41^2+Coefficients!$C$8*C41^3+Coefficients!$C$10*C41^4)/(1+Coefficients!$C$3*C41+Coefficients!$C$5*C41^2+Coefficients!$C$7*C41^3+Coefficients!$C$9*C41^4+Coefficients!$C$11*C41^5)&gt;=100,100,(Coefficients!$C$2+Coefficients!$C$4*C41+Coefficients!$C$6*C41^2+Coefficients!$C$8*C41^3+Coefficients!$C$10*C41^4)/(1+Coefficients!$C$3*C41+Coefficients!$C$5*C41^2+Coefficients!$C$7*C41^3+Coefficients!$C$9*C41^4+Coefficients!$C$11*C41^5)))</f>
        <v>16.501554394174377</v>
      </c>
      <c r="E41" s="38">
        <f t="shared" si="10"/>
        <v>3.6676837675316918</v>
      </c>
      <c r="F41" s="39">
        <f t="shared" si="8"/>
        <v>3.6676837675316918</v>
      </c>
      <c r="G41" s="40">
        <f t="shared" si="11"/>
        <v>16.501554394174377</v>
      </c>
      <c r="H41" s="43"/>
      <c r="I41" s="42"/>
    </row>
    <row r="42" spans="1:9" ht="15" x14ac:dyDescent="0.2">
      <c r="A42" s="29">
        <f t="shared" si="12"/>
        <v>45321.625</v>
      </c>
      <c r="B42" s="35">
        <f t="shared" si="9"/>
        <v>22</v>
      </c>
      <c r="C42" s="36">
        <f t="shared" si="7"/>
        <v>49.972014925373131</v>
      </c>
      <c r="D42" s="37">
        <f>IF(C42&lt;=0,0,IF((Coefficients!$C$2+Coefficients!$C$4*C42+Coefficients!$C$6*C42^2+Coefficients!$C$8*C42^3+Coefficients!$C$10*C42^4)/(1+Coefficients!$C$3*C42+Coefficients!$C$5*C42^2+Coefficients!$C$7*C42^3+Coefficients!$C$9*C42^4+Coefficients!$C$11*C42^5)&gt;=100,100,(Coefficients!$C$2+Coefficients!$C$4*C42+Coefficients!$C$6*C42^2+Coefficients!$C$8*C42^3+Coefficients!$C$10*C42^4)/(1+Coefficients!$C$3*C42+Coefficients!$C$5*C42^2+Coefficients!$C$7*C42^3+Coefficients!$C$9*C42^4+Coefficients!$C$11*C42^5)))</f>
        <v>20.624247507558973</v>
      </c>
      <c r="E42" s="38">
        <f t="shared" si="10"/>
        <v>4.1226931133845959</v>
      </c>
      <c r="F42" s="39">
        <f t="shared" si="8"/>
        <v>4.1226931133845959</v>
      </c>
      <c r="G42" s="40">
        <f t="shared" si="11"/>
        <v>20.624247507558973</v>
      </c>
      <c r="H42" s="43"/>
      <c r="I42" s="42"/>
    </row>
    <row r="43" spans="1:9" ht="15" x14ac:dyDescent="0.2">
      <c r="A43" s="29">
        <f t="shared" si="12"/>
        <v>45352.0625</v>
      </c>
      <c r="B43" s="35">
        <f t="shared" si="9"/>
        <v>23</v>
      </c>
      <c r="C43" s="36">
        <f t="shared" si="7"/>
        <v>52.243470149253724</v>
      </c>
      <c r="D43" s="37">
        <f>IF(C43&lt;=0,0,IF((Coefficients!$C$2+Coefficients!$C$4*C43+Coefficients!$C$6*C43^2+Coefficients!$C$8*C43^3+Coefficients!$C$10*C43^4)/(1+Coefficients!$C$3*C43+Coefficients!$C$5*C43^2+Coefficients!$C$7*C43^3+Coefficients!$C$9*C43^4+Coefficients!$C$11*C43^5)&gt;=100,100,(Coefficients!$C$2+Coefficients!$C$4*C43+Coefficients!$C$6*C43^2+Coefficients!$C$8*C43^3+Coefficients!$C$10*C43^4)/(1+Coefficients!$C$3*C43+Coefficients!$C$5*C43^2+Coefficients!$C$7*C43^3+Coefficients!$C$9*C43^4+Coefficients!$C$11*C43^5)))</f>
        <v>24.864387107747028</v>
      </c>
      <c r="E43" s="38">
        <f t="shared" si="10"/>
        <v>4.2401396001880549</v>
      </c>
      <c r="F43" s="39">
        <f t="shared" si="8"/>
        <v>4.2401396001880549</v>
      </c>
      <c r="G43" s="40">
        <f t="shared" si="11"/>
        <v>24.864387107747028</v>
      </c>
      <c r="H43" s="43"/>
      <c r="I43" s="44"/>
    </row>
    <row r="44" spans="1:9" ht="15" x14ac:dyDescent="0.2">
      <c r="A44" s="29">
        <f t="shared" si="12"/>
        <v>45382.5</v>
      </c>
      <c r="B44" s="35">
        <f t="shared" si="9"/>
        <v>24</v>
      </c>
      <c r="C44" s="36">
        <f t="shared" si="7"/>
        <v>54.514925373134325</v>
      </c>
      <c r="D44" s="37">
        <f>IF(C44&lt;=0,0,IF((Coefficients!$C$2+Coefficients!$C$4*C44+Coefficients!$C$6*C44^2+Coefficients!$C$8*C44^3+Coefficients!$C$10*C44^4)/(1+Coefficients!$C$3*C44+Coefficients!$C$5*C44^2+Coefficients!$C$7*C44^3+Coefficients!$C$9*C44^4+Coefficients!$C$11*C44^5)&gt;=100,100,(Coefficients!$C$2+Coefficients!$C$4*C44+Coefficients!$C$6*C44^2+Coefficients!$C$8*C44^3+Coefficients!$C$10*C44^4)/(1+Coefficients!$C$3*C44+Coefficients!$C$5*C44^2+Coefficients!$C$7*C44^3+Coefficients!$C$9*C44^4+Coefficients!$C$11*C44^5)))</f>
        <v>29.044926618641867</v>
      </c>
      <c r="E44" s="38">
        <f t="shared" si="10"/>
        <v>4.1805395108948389</v>
      </c>
      <c r="F44" s="39">
        <f t="shared" si="8"/>
        <v>4.1805395108948389</v>
      </c>
      <c r="G44" s="40">
        <f t="shared" si="11"/>
        <v>29.044926618641867</v>
      </c>
      <c r="H44" s="43"/>
      <c r="I44" s="44"/>
    </row>
    <row r="45" spans="1:9" ht="14.25" x14ac:dyDescent="0.2">
      <c r="A45" s="29">
        <f t="shared" si="12"/>
        <v>45412.9375</v>
      </c>
      <c r="B45" s="35">
        <f t="shared" si="9"/>
        <v>25</v>
      </c>
      <c r="C45" s="36">
        <f t="shared" si="7"/>
        <v>56.786380597014919</v>
      </c>
      <c r="D45" s="37">
        <f>IF(C45&lt;=0,0,IF((Coefficients!$C$2+Coefficients!$C$4*C45+Coefficients!$C$6*C45^2+Coefficients!$C$8*C45^3+Coefficients!$C$10*C45^4)/(1+Coefficients!$C$3*C45+Coefficients!$C$5*C45^2+Coefficients!$C$7*C45^3+Coefficients!$C$9*C45^4+Coefficients!$C$11*C45^5)&gt;=100,100,(Coefficients!$C$2+Coefficients!$C$4*C45+Coefficients!$C$6*C45^2+Coefficients!$C$8*C45^3+Coefficients!$C$10*C45^4)/(1+Coefficients!$C$3*C45+Coefficients!$C$5*C45^2+Coefficients!$C$7*C45^3+Coefficients!$C$9*C45^4+Coefficients!$C$11*C45^5)))</f>
        <v>33.150212131087862</v>
      </c>
      <c r="E45" s="38">
        <f t="shared" si="10"/>
        <v>4.1052855124459953</v>
      </c>
      <c r="F45" s="39">
        <f t="shared" si="8"/>
        <v>4.1052855124459953</v>
      </c>
      <c r="G45" s="40">
        <f t="shared" si="11"/>
        <v>33.150212131087862</v>
      </c>
      <c r="H45" s="45"/>
      <c r="I45" s="45"/>
    </row>
    <row r="46" spans="1:9" ht="14.25" x14ac:dyDescent="0.2">
      <c r="A46" s="29">
        <f t="shared" si="12"/>
        <v>45443.375</v>
      </c>
      <c r="B46" s="35">
        <f t="shared" si="9"/>
        <v>26</v>
      </c>
      <c r="C46" s="36">
        <f t="shared" si="7"/>
        <v>59.057835820895519</v>
      </c>
      <c r="D46" s="37">
        <f>IF(C46&lt;=0,0,IF((Coefficients!$C$2+Coefficients!$C$4*C46+Coefficients!$C$6*C46^2+Coefficients!$C$8*C46^3+Coefficients!$C$10*C46^4)/(1+Coefficients!$C$3*C46+Coefficients!$C$5*C46^2+Coefficients!$C$7*C46^3+Coefficients!$C$9*C46^4+Coefficients!$C$11*C46^5)&gt;=100,100,(Coefficients!$C$2+Coefficients!$C$4*C46+Coefficients!$C$6*C46^2+Coefficients!$C$8*C46^3+Coefficients!$C$10*C46^4)/(1+Coefficients!$C$3*C46+Coefficients!$C$5*C46^2+Coefficients!$C$7*C46^3+Coefficients!$C$9*C46^4+Coefficients!$C$11*C46^5)))</f>
        <v>37.240850544369188</v>
      </c>
      <c r="E46" s="38">
        <f t="shared" si="10"/>
        <v>4.0906384132813258</v>
      </c>
      <c r="F46" s="39">
        <f t="shared" si="8"/>
        <v>4.0906384132813258</v>
      </c>
      <c r="G46" s="40">
        <f t="shared" si="11"/>
        <v>37.240850544369188</v>
      </c>
      <c r="H46" s="45"/>
      <c r="I46" s="45"/>
    </row>
    <row r="47" spans="1:9" ht="14.25" x14ac:dyDescent="0.2">
      <c r="A47" s="29">
        <f t="shared" si="12"/>
        <v>45473.8125</v>
      </c>
      <c r="B47" s="35">
        <f t="shared" si="9"/>
        <v>27</v>
      </c>
      <c r="C47" s="36">
        <f t="shared" si="7"/>
        <v>61.329291044776113</v>
      </c>
      <c r="D47" s="37">
        <f>IF(C47&lt;=0,0,IF((Coefficients!$C$2+Coefficients!$C$4*C47+Coefficients!$C$6*C47^2+Coefficients!$C$8*C47^3+Coefficients!$C$10*C47^4)/(1+Coefficients!$C$3*C47+Coefficients!$C$5*C47^2+Coefficients!$C$7*C47^3+Coefficients!$C$9*C47^4+Coefficients!$C$11*C47^5)&gt;=100,100,(Coefficients!$C$2+Coefficients!$C$4*C47+Coefficients!$C$6*C47^2+Coefficients!$C$8*C47^3+Coefficients!$C$10*C47^4)/(1+Coefficients!$C$3*C47+Coefficients!$C$5*C47^2+Coefficients!$C$7*C47^3+Coefficients!$C$9*C47^4+Coefficients!$C$11*C47^5)))</f>
        <v>41.386220393280588</v>
      </c>
      <c r="E47" s="38">
        <f t="shared" si="10"/>
        <v>4.1453698489114004</v>
      </c>
      <c r="F47" s="39">
        <f t="shared" si="8"/>
        <v>4.1453698489114004</v>
      </c>
      <c r="G47" s="40">
        <f t="shared" si="11"/>
        <v>41.386220393280588</v>
      </c>
      <c r="H47" s="45"/>
      <c r="I47" s="45"/>
    </row>
    <row r="48" spans="1:9" ht="14.25" x14ac:dyDescent="0.2">
      <c r="A48" s="29">
        <f t="shared" si="12"/>
        <v>45504.25</v>
      </c>
      <c r="B48" s="35">
        <f t="shared" si="9"/>
        <v>28</v>
      </c>
      <c r="C48" s="36">
        <f t="shared" si="7"/>
        <v>63.600746268656714</v>
      </c>
      <c r="D48" s="37">
        <f>IF(C48&lt;=0,0,IF((Coefficients!$C$2+Coefficients!$C$4*C48+Coefficients!$C$6*C48^2+Coefficients!$C$8*C48^3+Coefficients!$C$10*C48^4)/(1+Coefficients!$C$3*C48+Coefficients!$C$5*C48^2+Coefficients!$C$7*C48^3+Coefficients!$C$9*C48^4+Coefficients!$C$11*C48^5)&gt;=100,100,(Coefficients!$C$2+Coefficients!$C$4*C48+Coefficients!$C$6*C48^2+Coefficients!$C$8*C48^3+Coefficients!$C$10*C48^4)/(1+Coefficients!$C$3*C48+Coefficients!$C$5*C48^2+Coefficients!$C$7*C48^3+Coefficients!$C$9*C48^4+Coefficients!$C$11*C48^5)))</f>
        <v>45.634454358615592</v>
      </c>
      <c r="E48" s="38">
        <f t="shared" si="10"/>
        <v>4.2482339653350039</v>
      </c>
      <c r="F48" s="39">
        <f t="shared" si="8"/>
        <v>4.2482339653350039</v>
      </c>
      <c r="G48" s="40">
        <f t="shared" si="11"/>
        <v>45.634454358615592</v>
      </c>
      <c r="H48" s="45"/>
      <c r="I48" s="45"/>
    </row>
    <row r="49" spans="1:7" ht="14.25" x14ac:dyDescent="0.2">
      <c r="A49" s="29">
        <f t="shared" si="12"/>
        <v>45534.6875</v>
      </c>
      <c r="B49" s="35">
        <f t="shared" si="9"/>
        <v>29</v>
      </c>
      <c r="C49" s="36">
        <f t="shared" si="7"/>
        <v>65.872201492537314</v>
      </c>
      <c r="D49" s="37">
        <f>IF(C49&lt;=0,0,IF((Coefficients!$C$2+Coefficients!$C$4*C49+Coefficients!$C$6*C49^2+Coefficients!$C$8*C49^3+Coefficients!$C$10*C49^4)/(1+Coefficients!$C$3*C49+Coefficients!$C$5*C49^2+Coefficients!$C$7*C49^3+Coefficients!$C$9*C49^4+Coefficients!$C$11*C49^5)&gt;=100,100,(Coefficients!$C$2+Coefficients!$C$4*C49+Coefficients!$C$6*C49^2+Coefficients!$C$8*C49^3+Coefficients!$C$10*C49^4)/(1+Coefficients!$C$3*C49+Coefficients!$C$5*C49^2+Coefficients!$C$7*C49^3+Coefficients!$C$9*C49^4+Coefficients!$C$11*C49^5)))</f>
        <v>50.004720060648836</v>
      </c>
      <c r="E49" s="38">
        <f t="shared" si="10"/>
        <v>4.3702657020332438</v>
      </c>
      <c r="F49" s="39">
        <f t="shared" si="8"/>
        <v>4.3702657020332438</v>
      </c>
      <c r="G49" s="40">
        <f t="shared" si="11"/>
        <v>50.004720060648836</v>
      </c>
    </row>
    <row r="50" spans="1:7" ht="14.25" x14ac:dyDescent="0.2">
      <c r="A50" s="29">
        <f t="shared" si="12"/>
        <v>45565.125</v>
      </c>
      <c r="B50" s="35">
        <f t="shared" si="9"/>
        <v>30</v>
      </c>
      <c r="C50" s="36">
        <f t="shared" si="7"/>
        <v>68.143656716417908</v>
      </c>
      <c r="D50" s="37">
        <f>IF(C50&lt;=0,0,IF((Coefficients!$C$2+Coefficients!$C$4*C50+Coefficients!$C$6*C50^2+Coefficients!$C$8*C50^3+Coefficients!$C$10*C50^4)/(1+Coefficients!$C$3*C50+Coefficients!$C$5*C50^2+Coefficients!$C$7*C50^3+Coefficients!$C$9*C50^4+Coefficients!$C$11*C50^5)&gt;=100,100,(Coefficients!$C$2+Coefficients!$C$4*C50+Coefficients!$C$6*C50^2+Coefficients!$C$8*C50^3+Coefficients!$C$10*C50^4)/(1+Coefficients!$C$3*C50+Coefficients!$C$5*C50^2+Coefficients!$C$7*C50^3+Coefficients!$C$9*C50^4+Coefficients!$C$11*C50^5)))</f>
        <v>54.488211118969581</v>
      </c>
      <c r="E50" s="38">
        <f t="shared" si="10"/>
        <v>4.4834910583207446</v>
      </c>
      <c r="F50" s="39">
        <f t="shared" si="8"/>
        <v>4.4834910583207446</v>
      </c>
      <c r="G50" s="40">
        <f t="shared" si="11"/>
        <v>54.488211118969581</v>
      </c>
    </row>
    <row r="51" spans="1:7" ht="14.25" x14ac:dyDescent="0.2">
      <c r="A51" s="29">
        <f t="shared" si="12"/>
        <v>45595.5625</v>
      </c>
      <c r="B51" s="35">
        <f t="shared" si="9"/>
        <v>31</v>
      </c>
      <c r="C51" s="36">
        <f t="shared" si="7"/>
        <v>70.415111940298502</v>
      </c>
      <c r="D51" s="37">
        <f>IF(C51&lt;=0,0,IF((Coefficients!$C$2+Coefficients!$C$4*C51+Coefficients!$C$6*C51^2+Coefficients!$C$8*C51^3+Coefficients!$C$10*C51^4)/(1+Coefficients!$C$3*C51+Coefficients!$C$5*C51^2+Coefficients!$C$7*C51^3+Coefficients!$C$9*C51^4+Coefficients!$C$11*C51^5)&gt;=100,100,(Coefficients!$C$2+Coefficients!$C$4*C51+Coefficients!$C$6*C51^2+Coefficients!$C$8*C51^3+Coefficients!$C$10*C51^4)/(1+Coefficients!$C$3*C51+Coefficients!$C$5*C51^2+Coefficients!$C$7*C51^3+Coefficients!$C$9*C51^4+Coefficients!$C$11*C51^5)))</f>
        <v>59.051702168808362</v>
      </c>
      <c r="E51" s="38">
        <f t="shared" si="10"/>
        <v>4.5634910498387811</v>
      </c>
      <c r="F51" s="39">
        <f t="shared" si="8"/>
        <v>4.5634910498387811</v>
      </c>
      <c r="G51" s="40">
        <f t="shared" si="11"/>
        <v>59.051702168808362</v>
      </c>
    </row>
    <row r="52" spans="1:7" ht="14.25" x14ac:dyDescent="0.2">
      <c r="A52" s="29">
        <f t="shared" si="12"/>
        <v>45626</v>
      </c>
      <c r="B52" s="35">
        <f t="shared" si="9"/>
        <v>32</v>
      </c>
      <c r="C52" s="36">
        <f t="shared" ref="C52:C83" si="13">+B52/$C$5*100</f>
        <v>72.68656716417911</v>
      </c>
      <c r="D52" s="37">
        <f>IF(C52&lt;=0,0,IF((Coefficients!$C$2+Coefficients!$C$4*C52+Coefficients!$C$6*C52^2+Coefficients!$C$8*C52^3+Coefficients!$C$10*C52^4)/(1+Coefficients!$C$3*C52+Coefficients!$C$5*C52^2+Coefficients!$C$7*C52^3+Coefficients!$C$9*C52^4+Coefficients!$C$11*C52^5)&gt;=100,100,(Coefficients!$C$2+Coefficients!$C$4*C52+Coefficients!$C$6*C52^2+Coefficients!$C$8*C52^3+Coefficients!$C$10*C52^4)/(1+Coefficients!$C$3*C52+Coefficients!$C$5*C52^2+Coefficients!$C$7*C52^3+Coefficients!$C$9*C52^4+Coefficients!$C$11*C52^5)))</f>
        <v>63.641878232589882</v>
      </c>
      <c r="E52" s="38">
        <f t="shared" si="10"/>
        <v>4.5901760637815201</v>
      </c>
      <c r="F52" s="39">
        <f t="shared" ref="F52:F83" si="14">$C$6*(E52/100)</f>
        <v>4.5901760637815201</v>
      </c>
      <c r="G52" s="40">
        <f t="shared" si="11"/>
        <v>63.641878232589882</v>
      </c>
    </row>
    <row r="53" spans="1:7" ht="14.25" x14ac:dyDescent="0.2">
      <c r="A53" s="29">
        <f t="shared" ref="A53:A84" si="15">A52+((B53-B52)*365.25/12)</f>
        <v>45656.4375</v>
      </c>
      <c r="B53" s="35">
        <f t="shared" ref="B53:B84" si="16">+IF(B52+1&gt;=$C$5*1.2,$C$5*1.2,B52+1)</f>
        <v>33</v>
      </c>
      <c r="C53" s="36">
        <f t="shared" si="13"/>
        <v>74.958022388059703</v>
      </c>
      <c r="D53" s="37">
        <f>IF(C53&lt;=0,0,IF((Coefficients!$C$2+Coefficients!$C$4*C53+Coefficients!$C$6*C53^2+Coefficients!$C$8*C53^3+Coefficients!$C$10*C53^4)/(1+Coefficients!$C$3*C53+Coefficients!$C$5*C53^2+Coefficients!$C$7*C53^3+Coefficients!$C$9*C53^4+Coefficients!$C$11*C53^5)&gt;=100,100,(Coefficients!$C$2+Coefficients!$C$4*C53+Coefficients!$C$6*C53^2+Coefficients!$C$8*C53^3+Coefficients!$C$10*C53^4)/(1+Coefficients!$C$3*C53+Coefficients!$C$5*C53^2+Coefficients!$C$7*C53^3+Coefficients!$C$9*C53^4+Coefficients!$C$11*C53^5)))</f>
        <v>68.190284294630274</v>
      </c>
      <c r="E53" s="38">
        <f t="shared" ref="E53:E84" si="17">+D53-D52</f>
        <v>4.5484060620403923</v>
      </c>
      <c r="F53" s="39">
        <f t="shared" si="14"/>
        <v>4.5484060620403923</v>
      </c>
      <c r="G53" s="40">
        <f t="shared" ref="G53:G84" si="18">IF(D52=100,G52,G52+F53)</f>
        <v>68.190284294630274</v>
      </c>
    </row>
    <row r="54" spans="1:7" ht="14.25" x14ac:dyDescent="0.2">
      <c r="A54" s="29">
        <f t="shared" si="15"/>
        <v>45686.875</v>
      </c>
      <c r="B54" s="35">
        <f t="shared" si="16"/>
        <v>34</v>
      </c>
      <c r="C54" s="36">
        <f t="shared" si="13"/>
        <v>77.229477611940283</v>
      </c>
      <c r="D54" s="37">
        <f>IF(C54&lt;=0,0,IF((Coefficients!$C$2+Coefficients!$C$4*C54+Coefficients!$C$6*C54^2+Coefficients!$C$8*C54^3+Coefficients!$C$10*C54^4)/(1+Coefficients!$C$3*C54+Coefficients!$C$5*C54^2+Coefficients!$C$7*C54^3+Coefficients!$C$9*C54^4+Coefficients!$C$11*C54^5)&gt;=100,100,(Coefficients!$C$2+Coefficients!$C$4*C54+Coefficients!$C$6*C54^2+Coefficients!$C$8*C54^3+Coefficients!$C$10*C54^4)/(1+Coefficients!$C$3*C54+Coefficients!$C$5*C54^2+Coefficients!$C$7*C54^3+Coefficients!$C$9*C54^4+Coefficients!$C$11*C54^5)))</f>
        <v>72.619050553819307</v>
      </c>
      <c r="E54" s="38">
        <f t="shared" si="17"/>
        <v>4.4287662591890324</v>
      </c>
      <c r="F54" s="39">
        <f t="shared" si="14"/>
        <v>4.4287662591890324</v>
      </c>
      <c r="G54" s="40">
        <f t="shared" si="18"/>
        <v>72.619050553819307</v>
      </c>
    </row>
    <row r="55" spans="1:7" ht="14.25" x14ac:dyDescent="0.2">
      <c r="A55" s="29">
        <f t="shared" si="15"/>
        <v>45717.3125</v>
      </c>
      <c r="B55" s="35">
        <f t="shared" si="16"/>
        <v>35</v>
      </c>
      <c r="C55" s="36">
        <f t="shared" si="13"/>
        <v>79.50093283582089</v>
      </c>
      <c r="D55" s="37">
        <f>IF(C55&lt;=0,0,IF((Coefficients!$C$2+Coefficients!$C$4*C55+Coefficients!$C$6*C55^2+Coefficients!$C$8*C55^3+Coefficients!$C$10*C55^4)/(1+Coefficients!$C$3*C55+Coefficients!$C$5*C55^2+Coefficients!$C$7*C55^3+Coefficients!$C$9*C55^4+Coefficients!$C$11*C55^5)&gt;=100,100,(Coefficients!$C$2+Coefficients!$C$4*C55+Coefficients!$C$6*C55^2+Coefficients!$C$8*C55^3+Coefficients!$C$10*C55^4)/(1+Coefficients!$C$3*C55+Coefficients!$C$5*C55^2+Coefficients!$C$7*C55^3+Coefficients!$C$9*C55^4+Coefficients!$C$11*C55^5)))</f>
        <v>76.847341299077414</v>
      </c>
      <c r="E55" s="38">
        <f t="shared" si="17"/>
        <v>4.2282907452581071</v>
      </c>
      <c r="F55" s="39">
        <f t="shared" si="14"/>
        <v>4.2282907452581071</v>
      </c>
      <c r="G55" s="40">
        <f t="shared" si="18"/>
        <v>76.847341299077414</v>
      </c>
    </row>
    <row r="56" spans="1:7" ht="14.25" x14ac:dyDescent="0.2">
      <c r="A56" s="29">
        <f t="shared" si="15"/>
        <v>45747.75</v>
      </c>
      <c r="B56" s="35">
        <f t="shared" si="16"/>
        <v>36</v>
      </c>
      <c r="C56" s="36">
        <f t="shared" si="13"/>
        <v>81.772388059701484</v>
      </c>
      <c r="D56" s="37">
        <f>IF(C56&lt;=0,0,IF((Coefficients!$C$2+Coefficients!$C$4*C56+Coefficients!$C$6*C56^2+Coefficients!$C$8*C56^3+Coefficients!$C$10*C56^4)/(1+Coefficients!$C$3*C56+Coefficients!$C$5*C56^2+Coefficients!$C$7*C56^3+Coefficients!$C$9*C56^4+Coefficients!$C$11*C56^5)&gt;=100,100,(Coefficients!$C$2+Coefficients!$C$4*C56+Coefficients!$C$6*C56^2+Coefficients!$C$8*C56^3+Coefficients!$C$10*C56^4)/(1+Coefficients!$C$3*C56+Coefficients!$C$5*C56^2+Coefficients!$C$7*C56^3+Coefficients!$C$9*C56^4+Coefficients!$C$11*C56^5)))</f>
        <v>80.798132746363535</v>
      </c>
      <c r="E56" s="38">
        <f t="shared" si="17"/>
        <v>3.9507914472861216</v>
      </c>
      <c r="F56" s="39">
        <f t="shared" si="14"/>
        <v>3.9507914472861212</v>
      </c>
      <c r="G56" s="40">
        <f t="shared" si="18"/>
        <v>80.798132746363535</v>
      </c>
    </row>
    <row r="57" spans="1:7" ht="14.25" x14ac:dyDescent="0.2">
      <c r="A57" s="29">
        <f t="shared" si="15"/>
        <v>45778.1875</v>
      </c>
      <c r="B57" s="35">
        <f t="shared" si="16"/>
        <v>37</v>
      </c>
      <c r="C57" s="36">
        <f t="shared" si="13"/>
        <v>84.043843283582092</v>
      </c>
      <c r="D57" s="37">
        <f>IF(C57&lt;=0,0,IF((Coefficients!$C$2+Coefficients!$C$4*C57+Coefficients!$C$6*C57^2+Coefficients!$C$8*C57^3+Coefficients!$C$10*C57^4)/(1+Coefficients!$C$3*C57+Coefficients!$C$5*C57^2+Coefficients!$C$7*C57^3+Coefficients!$C$9*C57^4+Coefficients!$C$11*C57^5)&gt;=100,100,(Coefficients!$C$2+Coefficients!$C$4*C57+Coefficients!$C$6*C57^2+Coefficients!$C$8*C57^3+Coefficients!$C$10*C57^4)/(1+Coefficients!$C$3*C57+Coefficients!$C$5*C57^2+Coefficients!$C$7*C57^3+Coefficients!$C$9*C57^4+Coefficients!$C$11*C57^5)))</f>
        <v>84.404646415195742</v>
      </c>
      <c r="E57" s="38">
        <f t="shared" si="17"/>
        <v>3.606513668832207</v>
      </c>
      <c r="F57" s="39">
        <f t="shared" si="14"/>
        <v>3.606513668832207</v>
      </c>
      <c r="G57" s="40">
        <f t="shared" si="18"/>
        <v>84.404646415195742</v>
      </c>
    </row>
    <row r="58" spans="1:7" ht="14.25" x14ac:dyDescent="0.2">
      <c r="A58" s="29">
        <f t="shared" si="15"/>
        <v>45808.625</v>
      </c>
      <c r="B58" s="35">
        <f t="shared" si="16"/>
        <v>38</v>
      </c>
      <c r="C58" s="36">
        <f t="shared" si="13"/>
        <v>86.315298507462686</v>
      </c>
      <c r="D58" s="37">
        <f>IF(C58&lt;=0,0,IF((Coefficients!$C$2+Coefficients!$C$4*C58+Coefficients!$C$6*C58^2+Coefficients!$C$8*C58^3+Coefficients!$C$10*C58^4)/(1+Coefficients!$C$3*C58+Coefficients!$C$5*C58^2+Coefficients!$C$7*C58^3+Coefficients!$C$9*C58^4+Coefficients!$C$11*C58^5)&gt;=100,100,(Coefficients!$C$2+Coefficients!$C$4*C58+Coefficients!$C$6*C58^2+Coefficients!$C$8*C58^3+Coefficients!$C$10*C58^4)/(1+Coefficients!$C$3*C58+Coefficients!$C$5*C58^2+Coefficients!$C$7*C58^3+Coefficients!$C$9*C58^4+Coefficients!$C$11*C58^5)))</f>
        <v>87.615663365032717</v>
      </c>
      <c r="E58" s="38">
        <f t="shared" si="17"/>
        <v>3.2110169498369743</v>
      </c>
      <c r="F58" s="39">
        <f t="shared" si="14"/>
        <v>3.2110169498369743</v>
      </c>
      <c r="G58" s="40">
        <f t="shared" si="18"/>
        <v>87.615663365032717</v>
      </c>
    </row>
    <row r="59" spans="1:7" ht="14.25" x14ac:dyDescent="0.2">
      <c r="A59" s="29">
        <f t="shared" si="15"/>
        <v>45839.0625</v>
      </c>
      <c r="B59" s="35">
        <f t="shared" si="16"/>
        <v>39</v>
      </c>
      <c r="C59" s="36">
        <f t="shared" si="13"/>
        <v>88.586753731343279</v>
      </c>
      <c r="D59" s="37">
        <f>IF(C59&lt;=0,0,IF((Coefficients!$C$2+Coefficients!$C$4*C59+Coefficients!$C$6*C59^2+Coefficients!$C$8*C59^3+Coefficients!$C$10*C59^4)/(1+Coefficients!$C$3*C59+Coefficients!$C$5*C59^2+Coefficients!$C$7*C59^3+Coefficients!$C$9*C59^4+Coefficients!$C$11*C59^5)&gt;=100,100,(Coefficients!$C$2+Coefficients!$C$4*C59+Coefficients!$C$6*C59^2+Coefficients!$C$8*C59^3+Coefficients!$C$10*C59^4)/(1+Coefficients!$C$3*C59+Coefficients!$C$5*C59^2+Coefficients!$C$7*C59^3+Coefficients!$C$9*C59^4+Coefficients!$C$11*C59^5)))</f>
        <v>90.39906173496351</v>
      </c>
      <c r="E59" s="38">
        <f t="shared" si="17"/>
        <v>2.7833983699307936</v>
      </c>
      <c r="F59" s="39">
        <f t="shared" si="14"/>
        <v>2.7833983699307936</v>
      </c>
      <c r="G59" s="40">
        <f t="shared" si="18"/>
        <v>90.39906173496351</v>
      </c>
    </row>
    <row r="60" spans="1:7" ht="14.25" x14ac:dyDescent="0.2">
      <c r="A60" s="29">
        <f t="shared" si="15"/>
        <v>45869.5</v>
      </c>
      <c r="B60" s="35">
        <f t="shared" si="16"/>
        <v>40</v>
      </c>
      <c r="C60" s="36">
        <f t="shared" si="13"/>
        <v>90.858208955223873</v>
      </c>
      <c r="D60" s="37">
        <f>IF(C60&lt;=0,0,IF((Coefficients!$C$2+Coefficients!$C$4*C60+Coefficients!$C$6*C60^2+Coefficients!$C$8*C60^3+Coefficients!$C$10*C60^4)/(1+Coefficients!$C$3*C60+Coefficients!$C$5*C60^2+Coefficients!$C$7*C60^3+Coefficients!$C$9*C60^4+Coefficients!$C$11*C60^5)&gt;=100,100,(Coefficients!$C$2+Coefficients!$C$4*C60+Coefficients!$C$6*C60^2+Coefficients!$C$8*C60^3+Coefficients!$C$10*C60^4)/(1+Coefficients!$C$3*C60+Coefficients!$C$5*C60^2+Coefficients!$C$7*C60^3+Coefficients!$C$9*C60^4+Coefficients!$C$11*C60^5)))</f>
        <v>92.743219062113127</v>
      </c>
      <c r="E60" s="38">
        <f t="shared" si="17"/>
        <v>2.3441573271496168</v>
      </c>
      <c r="F60" s="39">
        <f t="shared" si="14"/>
        <v>2.3441573271496168</v>
      </c>
      <c r="G60" s="40">
        <f t="shared" si="18"/>
        <v>92.743219062113127</v>
      </c>
    </row>
    <row r="61" spans="1:7" ht="14.25" x14ac:dyDescent="0.2">
      <c r="A61" s="29">
        <f t="shared" si="15"/>
        <v>45899.9375</v>
      </c>
      <c r="B61" s="35">
        <f t="shared" si="16"/>
        <v>41</v>
      </c>
      <c r="C61" s="36">
        <f t="shared" si="13"/>
        <v>93.129664179104481</v>
      </c>
      <c r="D61" s="37">
        <f>IF(C61&lt;=0,0,IF((Coefficients!$C$2+Coefficients!$C$4*C61+Coefficients!$C$6*C61^2+Coefficients!$C$8*C61^3+Coefficients!$C$10*C61^4)/(1+Coefficients!$C$3*C61+Coefficients!$C$5*C61^2+Coefficients!$C$7*C61^3+Coefficients!$C$9*C61^4+Coefficients!$C$11*C61^5)&gt;=100,100,(Coefficients!$C$2+Coefficients!$C$4*C61+Coefficients!$C$6*C61^2+Coefficients!$C$8*C61^3+Coefficients!$C$10*C61^4)/(1+Coefficients!$C$3*C61+Coefficients!$C$5*C61^2+Coefficients!$C$7*C61^3+Coefficients!$C$9*C61^4+Coefficients!$C$11*C61^5)))</f>
        <v>94.656303906003785</v>
      </c>
      <c r="E61" s="38">
        <f t="shared" si="17"/>
        <v>1.9130848438906582</v>
      </c>
      <c r="F61" s="39">
        <f t="shared" si="14"/>
        <v>1.9130848438906582</v>
      </c>
      <c r="G61" s="40">
        <f t="shared" si="18"/>
        <v>94.656303906003785</v>
      </c>
    </row>
    <row r="62" spans="1:7" ht="14.25" x14ac:dyDescent="0.2">
      <c r="A62" s="29">
        <f t="shared" si="15"/>
        <v>45930.375</v>
      </c>
      <c r="B62" s="35">
        <f t="shared" si="16"/>
        <v>42</v>
      </c>
      <c r="C62" s="36">
        <f t="shared" si="13"/>
        <v>95.401119402985074</v>
      </c>
      <c r="D62" s="37">
        <f>IF(C62&lt;=0,0,IF((Coefficients!$C$2+Coefficients!$C$4*C62+Coefficients!$C$6*C62^2+Coefficients!$C$8*C62^3+Coefficients!$C$10*C62^4)/(1+Coefficients!$C$3*C62+Coefficients!$C$5*C62^2+Coefficients!$C$7*C62^3+Coefficients!$C$9*C62^4+Coefficients!$C$11*C62^5)&gt;=100,100,(Coefficients!$C$2+Coefficients!$C$4*C62+Coefficients!$C$6*C62^2+Coefficients!$C$8*C62^3+Coefficients!$C$10*C62^4)/(1+Coefficients!$C$3*C62+Coefficients!$C$5*C62^2+Coefficients!$C$7*C62^3+Coefficients!$C$9*C62^4+Coefficients!$C$11*C62^5)))</f>
        <v>96.163830158100168</v>
      </c>
      <c r="E62" s="38">
        <f t="shared" si="17"/>
        <v>1.5075262520963832</v>
      </c>
      <c r="F62" s="39">
        <f t="shared" si="14"/>
        <v>1.5075262520963832</v>
      </c>
      <c r="G62" s="40">
        <f t="shared" si="18"/>
        <v>96.163830158100168</v>
      </c>
    </row>
    <row r="63" spans="1:7" ht="14.25" x14ac:dyDescent="0.2">
      <c r="A63" s="29">
        <f t="shared" si="15"/>
        <v>45960.8125</v>
      </c>
      <c r="B63" s="35">
        <f t="shared" si="16"/>
        <v>43</v>
      </c>
      <c r="C63" s="36">
        <f t="shared" si="13"/>
        <v>97.672574626865668</v>
      </c>
      <c r="D63" s="37">
        <f>IF(C63&lt;=0,0,IF((Coefficients!$C$2+Coefficients!$C$4*C63+Coefficients!$C$6*C63^2+Coefficients!$C$8*C63^3+Coefficients!$C$10*C63^4)/(1+Coefficients!$C$3*C63+Coefficients!$C$5*C63^2+Coefficients!$C$7*C63^3+Coefficients!$C$9*C63^4+Coefficients!$C$11*C63^5)&gt;=100,100,(Coefficients!$C$2+Coefficients!$C$4*C63+Coefficients!$C$6*C63^2+Coefficients!$C$8*C63^3+Coefficients!$C$10*C63^4)/(1+Coefficients!$C$3*C63+Coefficients!$C$5*C63^2+Coefficients!$C$7*C63^3+Coefficients!$C$9*C63^4+Coefficients!$C$11*C63^5)))</f>
        <v>97.30507067420875</v>
      </c>
      <c r="E63" s="38">
        <f t="shared" si="17"/>
        <v>1.1412405161085815</v>
      </c>
      <c r="F63" s="39">
        <f t="shared" si="14"/>
        <v>1.1412405161085815</v>
      </c>
      <c r="G63" s="40">
        <f t="shared" si="18"/>
        <v>97.30507067420875</v>
      </c>
    </row>
    <row r="64" spans="1:7" ht="14.25" x14ac:dyDescent="0.2">
      <c r="A64" s="29">
        <f t="shared" si="15"/>
        <v>45991.25</v>
      </c>
      <c r="B64" s="35">
        <f t="shared" si="16"/>
        <v>44</v>
      </c>
      <c r="C64" s="36">
        <f t="shared" si="13"/>
        <v>99.944029850746261</v>
      </c>
      <c r="D64" s="37">
        <f>IF(C64&lt;=0,0,IF((Coefficients!$C$2+Coefficients!$C$4*C64+Coefficients!$C$6*C64^2+Coefficients!$C$8*C64^3+Coefficients!$C$10*C64^4)/(1+Coefficients!$C$3*C64+Coefficients!$C$5*C64^2+Coefficients!$C$7*C64^3+Coefficients!$C$9*C64^4+Coefficients!$C$11*C64^5)&gt;=100,100,(Coefficients!$C$2+Coefficients!$C$4*C64+Coefficients!$C$6*C64^2+Coefficients!$C$8*C64^3+Coefficients!$C$10*C64^4)/(1+Coefficients!$C$3*C64+Coefficients!$C$5*C64^2+Coefficients!$C$7*C64^3+Coefficients!$C$9*C64^4+Coefficients!$C$11*C64^5)))</f>
        <v>98.128989211374048</v>
      </c>
      <c r="E64" s="38">
        <f t="shared" si="17"/>
        <v>0.82391853716529795</v>
      </c>
      <c r="F64" s="39">
        <f t="shared" si="14"/>
        <v>0.82391853716529784</v>
      </c>
      <c r="G64" s="40">
        <f t="shared" si="18"/>
        <v>98.128989211374048</v>
      </c>
    </row>
    <row r="65" spans="1:7" ht="14.25" x14ac:dyDescent="0.2">
      <c r="A65" s="29">
        <f t="shared" si="15"/>
        <v>46021.6875</v>
      </c>
      <c r="B65" s="35">
        <f t="shared" si="16"/>
        <v>45</v>
      </c>
      <c r="C65" s="36">
        <f t="shared" si="13"/>
        <v>102.21548507462686</v>
      </c>
      <c r="D65" s="37">
        <f>IF(C65&lt;=0,0,IF((Coefficients!$C$2+Coefficients!$C$4*C65+Coefficients!$C$6*C65^2+Coefficients!$C$8*C65^3+Coefficients!$C$10*C65^4)/(1+Coefficients!$C$3*C65+Coefficients!$C$5*C65^2+Coefficients!$C$7*C65^3+Coefficients!$C$9*C65^4+Coefficients!$C$11*C65^5)&gt;=100,100,(Coefficients!$C$2+Coefficients!$C$4*C65+Coefficients!$C$6*C65^2+Coefficients!$C$8*C65^3+Coefficients!$C$10*C65^4)/(1+Coefficients!$C$3*C65+Coefficients!$C$5*C65^2+Coefficients!$C$7*C65^3+Coefficients!$C$9*C65^4+Coefficients!$C$11*C65^5)))</f>
        <v>98.690272059486716</v>
      </c>
      <c r="E65" s="38">
        <f t="shared" si="17"/>
        <v>0.56128284811266838</v>
      </c>
      <c r="F65" s="39">
        <f t="shared" si="14"/>
        <v>0.56128284811266838</v>
      </c>
      <c r="G65" s="40">
        <f t="shared" si="18"/>
        <v>98.690272059486716</v>
      </c>
    </row>
    <row r="66" spans="1:7" ht="14.25" x14ac:dyDescent="0.2">
      <c r="A66" s="29">
        <f t="shared" si="15"/>
        <v>46052.125</v>
      </c>
      <c r="B66" s="35">
        <f t="shared" si="16"/>
        <v>46</v>
      </c>
      <c r="C66" s="36">
        <f t="shared" si="13"/>
        <v>104.48694029850745</v>
      </c>
      <c r="D66" s="37">
        <f>IF(C66&lt;=0,0,IF((Coefficients!$C$2+Coefficients!$C$4*C66+Coefficients!$C$6*C66^2+Coefficients!$C$8*C66^3+Coefficients!$C$10*C66^4)/(1+Coefficients!$C$3*C66+Coefficients!$C$5*C66^2+Coefficients!$C$7*C66^3+Coefficients!$C$9*C66^4+Coefficients!$C$11*C66^5)&gt;=100,100,(Coefficients!$C$2+Coefficients!$C$4*C66+Coefficients!$C$6*C66^2+Coefficients!$C$8*C66^3+Coefficients!$C$10*C66^4)/(1+Coefficients!$C$3*C66+Coefficients!$C$5*C66^2+Coefficients!$C$7*C66^3+Coefficients!$C$9*C66^4+Coefficients!$C$11*C66^5)))</f>
        <v>99.045878385395753</v>
      </c>
      <c r="E66" s="38">
        <f t="shared" si="17"/>
        <v>0.35560632590903651</v>
      </c>
      <c r="F66" s="39">
        <f t="shared" si="14"/>
        <v>0.35560632590903651</v>
      </c>
      <c r="G66" s="40">
        <f t="shared" si="18"/>
        <v>99.045878385395753</v>
      </c>
    </row>
    <row r="67" spans="1:7" ht="14.25" x14ac:dyDescent="0.2">
      <c r="A67" s="29">
        <f t="shared" si="15"/>
        <v>46082.5625</v>
      </c>
      <c r="B67" s="35">
        <f t="shared" si="16"/>
        <v>47</v>
      </c>
      <c r="C67" s="36">
        <f t="shared" si="13"/>
        <v>106.75839552238806</v>
      </c>
      <c r="D67" s="37">
        <f>IF(C67&lt;=0,0,IF((Coefficients!$C$2+Coefficients!$C$4*C67+Coefficients!$C$6*C67^2+Coefficients!$C$8*C67^3+Coefficients!$C$10*C67^4)/(1+Coefficients!$C$3*C67+Coefficients!$C$5*C67^2+Coefficients!$C$7*C67^3+Coefficients!$C$9*C67^4+Coefficients!$C$11*C67^5)&gt;=100,100,(Coefficients!$C$2+Coefficients!$C$4*C67+Coefficients!$C$6*C67^2+Coefficients!$C$8*C67^3+Coefficients!$C$10*C67^4)/(1+Coefficients!$C$3*C67+Coefficients!$C$5*C67^2+Coefficients!$C$7*C67^3+Coefficients!$C$9*C67^4+Coefficients!$C$11*C67^5)))</f>
        <v>99.252342208708939</v>
      </c>
      <c r="E67" s="38">
        <f t="shared" si="17"/>
        <v>0.20646382331318591</v>
      </c>
      <c r="F67" s="39">
        <f t="shared" si="14"/>
        <v>0.20646382331318591</v>
      </c>
      <c r="G67" s="40">
        <f t="shared" si="18"/>
        <v>99.252342208708939</v>
      </c>
    </row>
    <row r="68" spans="1:7" ht="14.25" x14ac:dyDescent="0.2">
      <c r="A68" s="29">
        <f t="shared" si="15"/>
        <v>46113</v>
      </c>
      <c r="B68" s="35">
        <f t="shared" si="16"/>
        <v>48</v>
      </c>
      <c r="C68" s="36">
        <f t="shared" si="13"/>
        <v>109.02985074626865</v>
      </c>
      <c r="D68" s="37">
        <f>IF(C68&lt;=0,0,IF((Coefficients!$C$2+Coefficients!$C$4*C68+Coefficients!$C$6*C68^2+Coefficients!$C$8*C68^3+Coefficients!$C$10*C68^4)/(1+Coefficients!$C$3*C68+Coefficients!$C$5*C68^2+Coefficients!$C$7*C68^3+Coefficients!$C$9*C68^4+Coefficients!$C$11*C68^5)&gt;=100,100,(Coefficients!$C$2+Coefficients!$C$4*C68+Coefficients!$C$6*C68^2+Coefficients!$C$8*C68^3+Coefficients!$C$10*C68^4)/(1+Coefficients!$C$3*C68+Coefficients!$C$5*C68^2+Coefficients!$C$7*C68^3+Coefficients!$C$9*C68^4+Coefficients!$C$11*C68^5)))</f>
        <v>99.363895474722653</v>
      </c>
      <c r="E68" s="38">
        <f t="shared" si="17"/>
        <v>0.11155326601371485</v>
      </c>
      <c r="F68" s="39">
        <f t="shared" si="14"/>
        <v>0.11155326601371485</v>
      </c>
      <c r="G68" s="40">
        <f t="shared" si="18"/>
        <v>99.363895474722653</v>
      </c>
    </row>
    <row r="69" spans="1:7" ht="14.25" x14ac:dyDescent="0.2">
      <c r="A69" s="29">
        <f t="shared" si="15"/>
        <v>46143.4375</v>
      </c>
      <c r="B69" s="35">
        <f t="shared" si="16"/>
        <v>49</v>
      </c>
      <c r="C69" s="36">
        <f t="shared" si="13"/>
        <v>111.30130597014924</v>
      </c>
      <c r="D69" s="37">
        <f>IF(C69&lt;=0,0,IF((Coefficients!$C$2+Coefficients!$C$4*C69+Coefficients!$C$6*C69^2+Coefficients!$C$8*C69^3+Coefficients!$C$10*C69^4)/(1+Coefficients!$C$3*C69+Coefficients!$C$5*C69^2+Coefficients!$C$7*C69^3+Coefficients!$C$9*C69^4+Coefficients!$C$11*C69^5)&gt;=100,100,(Coefficients!$C$2+Coefficients!$C$4*C69+Coefficients!$C$6*C69^2+Coefficients!$C$8*C69^3+Coefficients!$C$10*C69^4)/(1+Coefficients!$C$3*C69+Coefficients!$C$5*C69^2+Coefficients!$C$7*C69^3+Coefficients!$C$9*C69^4+Coefficients!$C$11*C69^5)))</f>
        <v>99.431364846148057</v>
      </c>
      <c r="E69" s="38">
        <f t="shared" si="17"/>
        <v>6.7469371425403324E-2</v>
      </c>
      <c r="F69" s="39">
        <f t="shared" si="14"/>
        <v>6.7469371425403324E-2</v>
      </c>
      <c r="G69" s="40">
        <f t="shared" si="18"/>
        <v>99.431364846148057</v>
      </c>
    </row>
    <row r="70" spans="1:7" ht="14.25" x14ac:dyDescent="0.2">
      <c r="A70" s="29">
        <f t="shared" si="15"/>
        <v>46173.875</v>
      </c>
      <c r="B70" s="35">
        <f t="shared" si="16"/>
        <v>50</v>
      </c>
      <c r="C70" s="36">
        <f t="shared" si="13"/>
        <v>113.57276119402984</v>
      </c>
      <c r="D70" s="37">
        <f>IF(C70&lt;=0,0,IF((Coefficients!$C$2+Coefficients!$C$4*C70+Coefficients!$C$6*C70^2+Coefficients!$C$8*C70^3+Coefficients!$C$10*C70^4)/(1+Coefficients!$C$3*C70+Coefficients!$C$5*C70^2+Coefficients!$C$7*C70^3+Coefficients!$C$9*C70^4+Coefficients!$C$11*C70^5)&gt;=100,100,(Coefficients!$C$2+Coefficients!$C$4*C70+Coefficients!$C$6*C70^2+Coefficients!$C$8*C70^3+Coefficients!$C$10*C70^4)/(1+Coefficients!$C$3*C70+Coefficients!$C$5*C70^2+Coefficients!$C$7*C70^3+Coefficients!$C$9*C70^4+Coefficients!$C$11*C70^5)))</f>
        <v>99.501728803902012</v>
      </c>
      <c r="E70" s="38">
        <f t="shared" si="17"/>
        <v>7.0363957753954764E-2</v>
      </c>
      <c r="F70" s="39">
        <f t="shared" si="14"/>
        <v>7.0363957753954764E-2</v>
      </c>
      <c r="G70" s="40">
        <f t="shared" si="18"/>
        <v>99.501728803902012</v>
      </c>
    </row>
    <row r="71" spans="1:7" ht="14.25" x14ac:dyDescent="0.2">
      <c r="A71" s="29">
        <f t="shared" si="15"/>
        <v>46204.3125</v>
      </c>
      <c r="B71" s="35">
        <f t="shared" si="16"/>
        <v>51</v>
      </c>
      <c r="C71" s="36">
        <f t="shared" si="13"/>
        <v>115.84421641791045</v>
      </c>
      <c r="D71" s="37">
        <f>IF(C71&lt;=0,0,IF((Coefficients!$C$2+Coefficients!$C$4*C71+Coefficients!$C$6*C71^2+Coefficients!$C$8*C71^3+Coefficients!$C$10*C71^4)/(1+Coefficients!$C$3*C71+Coefficients!$C$5*C71^2+Coefficients!$C$7*C71^3+Coefficients!$C$9*C71^4+Coefficients!$C$11*C71^5)&gt;=100,100,(Coefficients!$C$2+Coefficients!$C$4*C71+Coefficients!$C$6*C71^2+Coefficients!$C$8*C71^3+Coefficients!$C$10*C71^4)/(1+Coefficients!$C$3*C71+Coefficients!$C$5*C71^2+Coefficients!$C$7*C71^3+Coefficients!$C$9*C71^4+Coefficients!$C$11*C71^5)))</f>
        <v>99.618198319812748</v>
      </c>
      <c r="E71" s="38">
        <f t="shared" si="17"/>
        <v>0.11646951591073673</v>
      </c>
      <c r="F71" s="39">
        <f t="shared" si="14"/>
        <v>0.11646951591073673</v>
      </c>
      <c r="G71" s="40">
        <f t="shared" si="18"/>
        <v>99.618198319812748</v>
      </c>
    </row>
    <row r="72" spans="1:7" ht="14.25" x14ac:dyDescent="0.2">
      <c r="A72" s="29">
        <f t="shared" si="15"/>
        <v>46234.75</v>
      </c>
      <c r="B72" s="35">
        <f t="shared" si="16"/>
        <v>52</v>
      </c>
      <c r="C72" s="36">
        <f t="shared" si="13"/>
        <v>118.11567164179104</v>
      </c>
      <c r="D72" s="37">
        <f>IF(C72&lt;=0,0,IF((Coefficients!$C$2+Coefficients!$C$4*C72+Coefficients!$C$6*C72^2+Coefficients!$C$8*C72^3+Coefficients!$C$10*C72^4)/(1+Coefficients!$C$3*C72+Coefficients!$C$5*C72^2+Coefficients!$C$7*C72^3+Coefficients!$C$9*C72^4+Coefficients!$C$11*C72^5)&gt;=100,100,(Coefficients!$C$2+Coefficients!$C$4*C72+Coefficients!$C$6*C72^2+Coefficients!$C$8*C72^3+Coefficients!$C$10*C72^4)/(1+Coefficients!$C$3*C72+Coefficients!$C$5*C72^2+Coefficients!$C$7*C72^3+Coefficients!$C$9*C72^4+Coefficients!$C$11*C72^5)))</f>
        <v>99.820690854896313</v>
      </c>
      <c r="E72" s="38">
        <f t="shared" si="17"/>
        <v>0.20249253508356446</v>
      </c>
      <c r="F72" s="39">
        <f t="shared" si="14"/>
        <v>0.20249253508356446</v>
      </c>
      <c r="G72" s="40">
        <f t="shared" si="18"/>
        <v>99.820690854896313</v>
      </c>
    </row>
    <row r="73" spans="1:7" ht="14.25" x14ac:dyDescent="0.2">
      <c r="A73" s="29">
        <f t="shared" si="15"/>
        <v>46260</v>
      </c>
      <c r="B73" s="35">
        <f t="shared" si="16"/>
        <v>52.829568788501028</v>
      </c>
      <c r="C73" s="36">
        <f t="shared" si="13"/>
        <v>120</v>
      </c>
      <c r="D73" s="37">
        <f>IF(C73&lt;=0,0,IF((Coefficients!$C$2+Coefficients!$C$4*C73+Coefficients!$C$6*C73^2+Coefficients!$C$8*C73^3+Coefficients!$C$10*C73^4)/(1+Coefficients!$C$3*C73+Coefficients!$C$5*C73^2+Coefficients!$C$7*C73^3+Coefficients!$C$9*C73^4+Coefficients!$C$11*C73^5)&gt;=100,100,(Coefficients!$C$2+Coefficients!$C$4*C73+Coefficients!$C$6*C73^2+Coefficients!$C$8*C73^3+Coefficients!$C$10*C73^4)/(1+Coefficients!$C$3*C73+Coefficients!$C$5*C73^2+Coefficients!$C$7*C73^3+Coefficients!$C$9*C73^4+Coefficients!$C$11*C73^5)))</f>
        <v>100</v>
      </c>
      <c r="E73" s="38">
        <f t="shared" si="17"/>
        <v>0.17930914510368723</v>
      </c>
      <c r="F73" s="39">
        <f t="shared" si="14"/>
        <v>0.17930914510368723</v>
      </c>
      <c r="G73" s="40">
        <f t="shared" si="18"/>
        <v>100</v>
      </c>
    </row>
    <row r="74" spans="1:7" ht="14.25" x14ac:dyDescent="0.2">
      <c r="A74" s="29">
        <f t="shared" si="15"/>
        <v>46260</v>
      </c>
      <c r="B74" s="35">
        <f t="shared" si="16"/>
        <v>52.829568788501028</v>
      </c>
      <c r="C74" s="36">
        <f t="shared" si="13"/>
        <v>120</v>
      </c>
      <c r="D74" s="37">
        <f>IF(C74&lt;=0,0,IF((Coefficients!$C$2+Coefficients!$C$4*C74+Coefficients!$C$6*C74^2+Coefficients!$C$8*C74^3+Coefficients!$C$10*C74^4)/(1+Coefficients!$C$3*C74+Coefficients!$C$5*C74^2+Coefficients!$C$7*C74^3+Coefficients!$C$9*C74^4+Coefficients!$C$11*C74^5)&gt;=100,100,(Coefficients!$C$2+Coefficients!$C$4*C74+Coefficients!$C$6*C74^2+Coefficients!$C$8*C74^3+Coefficients!$C$10*C74^4)/(1+Coefficients!$C$3*C74+Coefficients!$C$5*C74^2+Coefficients!$C$7*C74^3+Coefficients!$C$9*C74^4+Coefficients!$C$11*C74^5)))</f>
        <v>100</v>
      </c>
      <c r="E74" s="38">
        <f t="shared" si="17"/>
        <v>0</v>
      </c>
      <c r="F74" s="39">
        <f t="shared" si="14"/>
        <v>0</v>
      </c>
      <c r="G74" s="40">
        <f t="shared" si="18"/>
        <v>100</v>
      </c>
    </row>
    <row r="75" spans="1:7" ht="14.25" x14ac:dyDescent="0.2">
      <c r="A75" s="29">
        <f t="shared" si="15"/>
        <v>46260</v>
      </c>
      <c r="B75" s="35">
        <f t="shared" si="16"/>
        <v>52.829568788501028</v>
      </c>
      <c r="C75" s="36">
        <f t="shared" si="13"/>
        <v>120</v>
      </c>
      <c r="D75" s="37">
        <f>IF(C75&lt;=0,0,IF((Coefficients!$C$2+Coefficients!$C$4*C75+Coefficients!$C$6*C75^2+Coefficients!$C$8*C75^3+Coefficients!$C$10*C75^4)/(1+Coefficients!$C$3*C75+Coefficients!$C$5*C75^2+Coefficients!$C$7*C75^3+Coefficients!$C$9*C75^4+Coefficients!$C$11*C75^5)&gt;=100,100,(Coefficients!$C$2+Coefficients!$C$4*C75+Coefficients!$C$6*C75^2+Coefficients!$C$8*C75^3+Coefficients!$C$10*C75^4)/(1+Coefficients!$C$3*C75+Coefficients!$C$5*C75^2+Coefficients!$C$7*C75^3+Coefficients!$C$9*C75^4+Coefficients!$C$11*C75^5)))</f>
        <v>100</v>
      </c>
      <c r="E75" s="38">
        <f t="shared" si="17"/>
        <v>0</v>
      </c>
      <c r="F75" s="39">
        <f t="shared" si="14"/>
        <v>0</v>
      </c>
      <c r="G75" s="40">
        <f t="shared" si="18"/>
        <v>100</v>
      </c>
    </row>
    <row r="76" spans="1:7" ht="14.25" x14ac:dyDescent="0.2">
      <c r="A76" s="29">
        <f t="shared" si="15"/>
        <v>46260</v>
      </c>
      <c r="B76" s="35">
        <f t="shared" si="16"/>
        <v>52.829568788501028</v>
      </c>
      <c r="C76" s="36">
        <f t="shared" si="13"/>
        <v>120</v>
      </c>
      <c r="D76" s="37">
        <f>IF(C76&lt;=0,0,IF((Coefficients!$C$2+Coefficients!$C$4*C76+Coefficients!$C$6*C76^2+Coefficients!$C$8*C76^3+Coefficients!$C$10*C76^4)/(1+Coefficients!$C$3*C76+Coefficients!$C$5*C76^2+Coefficients!$C$7*C76^3+Coefficients!$C$9*C76^4+Coefficients!$C$11*C76^5)&gt;=100,100,(Coefficients!$C$2+Coefficients!$C$4*C76+Coefficients!$C$6*C76^2+Coefficients!$C$8*C76^3+Coefficients!$C$10*C76^4)/(1+Coefficients!$C$3*C76+Coefficients!$C$5*C76^2+Coefficients!$C$7*C76^3+Coefficients!$C$9*C76^4+Coefficients!$C$11*C76^5)))</f>
        <v>100</v>
      </c>
      <c r="E76" s="38">
        <f t="shared" si="17"/>
        <v>0</v>
      </c>
      <c r="F76" s="39">
        <f t="shared" si="14"/>
        <v>0</v>
      </c>
      <c r="G76" s="40">
        <f t="shared" si="18"/>
        <v>100</v>
      </c>
    </row>
    <row r="77" spans="1:7" ht="14.25" x14ac:dyDescent="0.2">
      <c r="A77" s="29">
        <f t="shared" si="15"/>
        <v>46260</v>
      </c>
      <c r="B77" s="35">
        <f t="shared" si="16"/>
        <v>52.829568788501028</v>
      </c>
      <c r="C77" s="36">
        <f t="shared" si="13"/>
        <v>120</v>
      </c>
      <c r="D77" s="37">
        <f>IF(C77&lt;=0,0,IF((Coefficients!$C$2+Coefficients!$C$4*C77+Coefficients!$C$6*C77^2+Coefficients!$C$8*C77^3+Coefficients!$C$10*C77^4)/(1+Coefficients!$C$3*C77+Coefficients!$C$5*C77^2+Coefficients!$C$7*C77^3+Coefficients!$C$9*C77^4+Coefficients!$C$11*C77^5)&gt;=100,100,(Coefficients!$C$2+Coefficients!$C$4*C77+Coefficients!$C$6*C77^2+Coefficients!$C$8*C77^3+Coefficients!$C$10*C77^4)/(1+Coefficients!$C$3*C77+Coefficients!$C$5*C77^2+Coefficients!$C$7*C77^3+Coefficients!$C$9*C77^4+Coefficients!$C$11*C77^5)))</f>
        <v>100</v>
      </c>
      <c r="E77" s="38">
        <f t="shared" si="17"/>
        <v>0</v>
      </c>
      <c r="F77" s="39">
        <f t="shared" si="14"/>
        <v>0</v>
      </c>
      <c r="G77" s="40">
        <f t="shared" si="18"/>
        <v>100</v>
      </c>
    </row>
    <row r="78" spans="1:7" ht="14.25" x14ac:dyDescent="0.2">
      <c r="A78" s="29">
        <f t="shared" si="15"/>
        <v>46260</v>
      </c>
      <c r="B78" s="35">
        <f t="shared" si="16"/>
        <v>52.829568788501028</v>
      </c>
      <c r="C78" s="36">
        <f t="shared" si="13"/>
        <v>120</v>
      </c>
      <c r="D78" s="37">
        <f>IF(C78&lt;=0,0,IF((Coefficients!$C$2+Coefficients!$C$4*C78+Coefficients!$C$6*C78^2+Coefficients!$C$8*C78^3+Coefficients!$C$10*C78^4)/(1+Coefficients!$C$3*C78+Coefficients!$C$5*C78^2+Coefficients!$C$7*C78^3+Coefficients!$C$9*C78^4+Coefficients!$C$11*C78^5)&gt;=100,100,(Coefficients!$C$2+Coefficients!$C$4*C78+Coefficients!$C$6*C78^2+Coefficients!$C$8*C78^3+Coefficients!$C$10*C78^4)/(1+Coefficients!$C$3*C78+Coefficients!$C$5*C78^2+Coefficients!$C$7*C78^3+Coefficients!$C$9*C78^4+Coefficients!$C$11*C78^5)))</f>
        <v>100</v>
      </c>
      <c r="E78" s="38">
        <f t="shared" si="17"/>
        <v>0</v>
      </c>
      <c r="F78" s="39">
        <f t="shared" si="14"/>
        <v>0</v>
      </c>
      <c r="G78" s="40">
        <f t="shared" si="18"/>
        <v>100</v>
      </c>
    </row>
    <row r="79" spans="1:7" ht="14.25" x14ac:dyDescent="0.2">
      <c r="A79" s="29">
        <f t="shared" si="15"/>
        <v>46260</v>
      </c>
      <c r="B79" s="35">
        <f t="shared" si="16"/>
        <v>52.829568788501028</v>
      </c>
      <c r="C79" s="36">
        <f t="shared" si="13"/>
        <v>120</v>
      </c>
      <c r="D79" s="37">
        <f>IF(C79&lt;=0,0,IF((Coefficients!$C$2+Coefficients!$C$4*C79+Coefficients!$C$6*C79^2+Coefficients!$C$8*C79^3+Coefficients!$C$10*C79^4)/(1+Coefficients!$C$3*C79+Coefficients!$C$5*C79^2+Coefficients!$C$7*C79^3+Coefficients!$C$9*C79^4+Coefficients!$C$11*C79^5)&gt;=100,100,(Coefficients!$C$2+Coefficients!$C$4*C79+Coefficients!$C$6*C79^2+Coefficients!$C$8*C79^3+Coefficients!$C$10*C79^4)/(1+Coefficients!$C$3*C79+Coefficients!$C$5*C79^2+Coefficients!$C$7*C79^3+Coefficients!$C$9*C79^4+Coefficients!$C$11*C79^5)))</f>
        <v>100</v>
      </c>
      <c r="E79" s="38">
        <f t="shared" si="17"/>
        <v>0</v>
      </c>
      <c r="F79" s="39">
        <f t="shared" si="14"/>
        <v>0</v>
      </c>
      <c r="G79" s="40">
        <f t="shared" si="18"/>
        <v>100</v>
      </c>
    </row>
    <row r="80" spans="1:7" ht="14.25" x14ac:dyDescent="0.2">
      <c r="A80" s="29">
        <f t="shared" si="15"/>
        <v>46260</v>
      </c>
      <c r="B80" s="35">
        <f t="shared" si="16"/>
        <v>52.829568788501028</v>
      </c>
      <c r="C80" s="36">
        <f t="shared" si="13"/>
        <v>120</v>
      </c>
      <c r="D80" s="37">
        <f>IF(C80&lt;=0,0,IF((Coefficients!$C$2+Coefficients!$C$4*C80+Coefficients!$C$6*C80^2+Coefficients!$C$8*C80^3+Coefficients!$C$10*C80^4)/(1+Coefficients!$C$3*C80+Coefficients!$C$5*C80^2+Coefficients!$C$7*C80^3+Coefficients!$C$9*C80^4+Coefficients!$C$11*C80^5)&gt;=100,100,(Coefficients!$C$2+Coefficients!$C$4*C80+Coefficients!$C$6*C80^2+Coefficients!$C$8*C80^3+Coefficients!$C$10*C80^4)/(1+Coefficients!$C$3*C80+Coefficients!$C$5*C80^2+Coefficients!$C$7*C80^3+Coefficients!$C$9*C80^4+Coefficients!$C$11*C80^5)))</f>
        <v>100</v>
      </c>
      <c r="E80" s="38">
        <f t="shared" si="17"/>
        <v>0</v>
      </c>
      <c r="F80" s="39">
        <f t="shared" si="14"/>
        <v>0</v>
      </c>
      <c r="G80" s="40">
        <f t="shared" si="18"/>
        <v>100</v>
      </c>
    </row>
    <row r="81" spans="1:7" ht="14.25" x14ac:dyDescent="0.2">
      <c r="A81" s="29">
        <f t="shared" si="15"/>
        <v>46260</v>
      </c>
      <c r="B81" s="35">
        <f t="shared" si="16"/>
        <v>52.829568788501028</v>
      </c>
      <c r="C81" s="36">
        <f t="shared" si="13"/>
        <v>120</v>
      </c>
      <c r="D81" s="37">
        <f>IF(C81&lt;=0,0,IF((Coefficients!$C$2+Coefficients!$C$4*C81+Coefficients!$C$6*C81^2+Coefficients!$C$8*C81^3+Coefficients!$C$10*C81^4)/(1+Coefficients!$C$3*C81+Coefficients!$C$5*C81^2+Coefficients!$C$7*C81^3+Coefficients!$C$9*C81^4+Coefficients!$C$11*C81^5)&gt;=100,100,(Coefficients!$C$2+Coefficients!$C$4*C81+Coefficients!$C$6*C81^2+Coefficients!$C$8*C81^3+Coefficients!$C$10*C81^4)/(1+Coefficients!$C$3*C81+Coefficients!$C$5*C81^2+Coefficients!$C$7*C81^3+Coefficients!$C$9*C81^4+Coefficients!$C$11*C81^5)))</f>
        <v>100</v>
      </c>
      <c r="E81" s="38">
        <f t="shared" si="17"/>
        <v>0</v>
      </c>
      <c r="F81" s="39">
        <f t="shared" si="14"/>
        <v>0</v>
      </c>
      <c r="G81" s="40">
        <f t="shared" si="18"/>
        <v>100</v>
      </c>
    </row>
    <row r="82" spans="1:7" ht="14.25" x14ac:dyDescent="0.2">
      <c r="A82" s="29">
        <f t="shared" si="15"/>
        <v>46260</v>
      </c>
      <c r="B82" s="35">
        <f t="shared" si="16"/>
        <v>52.829568788501028</v>
      </c>
      <c r="C82" s="36">
        <f t="shared" si="13"/>
        <v>120</v>
      </c>
      <c r="D82" s="37">
        <f>IF(C82&lt;=0,0,IF((Coefficients!$C$2+Coefficients!$C$4*C82+Coefficients!$C$6*C82^2+Coefficients!$C$8*C82^3+Coefficients!$C$10*C82^4)/(1+Coefficients!$C$3*C82+Coefficients!$C$5*C82^2+Coefficients!$C$7*C82^3+Coefficients!$C$9*C82^4+Coefficients!$C$11*C82^5)&gt;=100,100,(Coefficients!$C$2+Coefficients!$C$4*C82+Coefficients!$C$6*C82^2+Coefficients!$C$8*C82^3+Coefficients!$C$10*C82^4)/(1+Coefficients!$C$3*C82+Coefficients!$C$5*C82^2+Coefficients!$C$7*C82^3+Coefficients!$C$9*C82^4+Coefficients!$C$11*C82^5)))</f>
        <v>100</v>
      </c>
      <c r="E82" s="38">
        <f t="shared" si="17"/>
        <v>0</v>
      </c>
      <c r="F82" s="39">
        <f t="shared" si="14"/>
        <v>0</v>
      </c>
      <c r="G82" s="40">
        <f t="shared" si="18"/>
        <v>100</v>
      </c>
    </row>
    <row r="83" spans="1:7" ht="14.25" x14ac:dyDescent="0.2">
      <c r="A83" s="29">
        <f t="shared" si="15"/>
        <v>46260</v>
      </c>
      <c r="B83" s="35">
        <f t="shared" si="16"/>
        <v>52.829568788501028</v>
      </c>
      <c r="C83" s="36">
        <f t="shared" si="13"/>
        <v>120</v>
      </c>
      <c r="D83" s="37">
        <f>IF(C83&lt;=0,0,IF((Coefficients!$C$2+Coefficients!$C$4*C83+Coefficients!$C$6*C83^2+Coefficients!$C$8*C83^3+Coefficients!$C$10*C83^4)/(1+Coefficients!$C$3*C83+Coefficients!$C$5*C83^2+Coefficients!$C$7*C83^3+Coefficients!$C$9*C83^4+Coefficients!$C$11*C83^5)&gt;=100,100,(Coefficients!$C$2+Coefficients!$C$4*C83+Coefficients!$C$6*C83^2+Coefficients!$C$8*C83^3+Coefficients!$C$10*C83^4)/(1+Coefficients!$C$3*C83+Coefficients!$C$5*C83^2+Coefficients!$C$7*C83^3+Coefficients!$C$9*C83^4+Coefficients!$C$11*C83^5)))</f>
        <v>100</v>
      </c>
      <c r="E83" s="38">
        <f t="shared" si="17"/>
        <v>0</v>
      </c>
      <c r="F83" s="39">
        <f t="shared" si="14"/>
        <v>0</v>
      </c>
      <c r="G83" s="40">
        <f t="shared" si="18"/>
        <v>100</v>
      </c>
    </row>
    <row r="84" spans="1:7" ht="14.25" x14ac:dyDescent="0.2">
      <c r="A84" s="29">
        <f t="shared" si="15"/>
        <v>46260</v>
      </c>
      <c r="B84" s="35">
        <f t="shared" si="16"/>
        <v>52.829568788501028</v>
      </c>
      <c r="C84" s="36">
        <f t="shared" ref="C84:C115" si="19">+B84/$C$5*100</f>
        <v>120</v>
      </c>
      <c r="D84" s="37">
        <f>IF(C84&lt;=0,0,IF((Coefficients!$C$2+Coefficients!$C$4*C84+Coefficients!$C$6*C84^2+Coefficients!$C$8*C84^3+Coefficients!$C$10*C84^4)/(1+Coefficients!$C$3*C84+Coefficients!$C$5*C84^2+Coefficients!$C$7*C84^3+Coefficients!$C$9*C84^4+Coefficients!$C$11*C84^5)&gt;=100,100,(Coefficients!$C$2+Coefficients!$C$4*C84+Coefficients!$C$6*C84^2+Coefficients!$C$8*C84^3+Coefficients!$C$10*C84^4)/(1+Coefficients!$C$3*C84+Coefficients!$C$5*C84^2+Coefficients!$C$7*C84^3+Coefficients!$C$9*C84^4+Coefficients!$C$11*C84^5)))</f>
        <v>100</v>
      </c>
      <c r="E84" s="38">
        <f t="shared" si="17"/>
        <v>0</v>
      </c>
      <c r="F84" s="39">
        <f t="shared" ref="F84:F115" si="20">$C$6*(E84/100)</f>
        <v>0</v>
      </c>
      <c r="G84" s="40">
        <f t="shared" si="18"/>
        <v>100</v>
      </c>
    </row>
    <row r="85" spans="1:7" ht="14.25" x14ac:dyDescent="0.2">
      <c r="A85" s="29">
        <f t="shared" ref="A85:A116" si="21">A84+((B85-B84)*365.25/12)</f>
        <v>46260</v>
      </c>
      <c r="B85" s="35">
        <f t="shared" ref="B85:B116" si="22">+IF(B84+1&gt;=$C$5*1.2,$C$5*1.2,B84+1)</f>
        <v>52.829568788501028</v>
      </c>
      <c r="C85" s="36">
        <f t="shared" si="19"/>
        <v>120</v>
      </c>
      <c r="D85" s="37">
        <f>IF(C85&lt;=0,0,IF((Coefficients!$C$2+Coefficients!$C$4*C85+Coefficients!$C$6*C85^2+Coefficients!$C$8*C85^3+Coefficients!$C$10*C85^4)/(1+Coefficients!$C$3*C85+Coefficients!$C$5*C85^2+Coefficients!$C$7*C85^3+Coefficients!$C$9*C85^4+Coefficients!$C$11*C85^5)&gt;=100,100,(Coefficients!$C$2+Coefficients!$C$4*C85+Coefficients!$C$6*C85^2+Coefficients!$C$8*C85^3+Coefficients!$C$10*C85^4)/(1+Coefficients!$C$3*C85+Coefficients!$C$5*C85^2+Coefficients!$C$7*C85^3+Coefficients!$C$9*C85^4+Coefficients!$C$11*C85^5)))</f>
        <v>100</v>
      </c>
      <c r="E85" s="38">
        <f t="shared" ref="E85:E116" si="23">+D85-D84</f>
        <v>0</v>
      </c>
      <c r="F85" s="39">
        <f t="shared" si="20"/>
        <v>0</v>
      </c>
      <c r="G85" s="40">
        <f t="shared" ref="G85:G116" si="24">IF(D84=100,G84,G84+F85)</f>
        <v>100</v>
      </c>
    </row>
    <row r="86" spans="1:7" ht="14.25" x14ac:dyDescent="0.2">
      <c r="A86" s="29">
        <f t="shared" si="21"/>
        <v>46260</v>
      </c>
      <c r="B86" s="35">
        <f t="shared" si="22"/>
        <v>52.829568788501028</v>
      </c>
      <c r="C86" s="36">
        <f t="shared" si="19"/>
        <v>120</v>
      </c>
      <c r="D86" s="37">
        <f>IF(C86&lt;=0,0,IF((Coefficients!$C$2+Coefficients!$C$4*C86+Coefficients!$C$6*C86^2+Coefficients!$C$8*C86^3+Coefficients!$C$10*C86^4)/(1+Coefficients!$C$3*C86+Coefficients!$C$5*C86^2+Coefficients!$C$7*C86^3+Coefficients!$C$9*C86^4+Coefficients!$C$11*C86^5)&gt;=100,100,(Coefficients!$C$2+Coefficients!$C$4*C86+Coefficients!$C$6*C86^2+Coefficients!$C$8*C86^3+Coefficients!$C$10*C86^4)/(1+Coefficients!$C$3*C86+Coefficients!$C$5*C86^2+Coefficients!$C$7*C86^3+Coefficients!$C$9*C86^4+Coefficients!$C$11*C86^5)))</f>
        <v>100</v>
      </c>
      <c r="E86" s="38">
        <f t="shared" si="23"/>
        <v>0</v>
      </c>
      <c r="F86" s="39">
        <f t="shared" si="20"/>
        <v>0</v>
      </c>
      <c r="G86" s="40">
        <f t="shared" si="24"/>
        <v>100</v>
      </c>
    </row>
    <row r="87" spans="1:7" ht="14.25" x14ac:dyDescent="0.2">
      <c r="A87" s="29">
        <f t="shared" si="21"/>
        <v>46260</v>
      </c>
      <c r="B87" s="35">
        <f t="shared" si="22"/>
        <v>52.829568788501028</v>
      </c>
      <c r="C87" s="36">
        <f t="shared" si="19"/>
        <v>120</v>
      </c>
      <c r="D87" s="37">
        <f>IF(C87&lt;=0,0,IF((Coefficients!$C$2+Coefficients!$C$4*C87+Coefficients!$C$6*C87^2+Coefficients!$C$8*C87^3+Coefficients!$C$10*C87^4)/(1+Coefficients!$C$3*C87+Coefficients!$C$5*C87^2+Coefficients!$C$7*C87^3+Coefficients!$C$9*C87^4+Coefficients!$C$11*C87^5)&gt;=100,100,(Coefficients!$C$2+Coefficients!$C$4*C87+Coefficients!$C$6*C87^2+Coefficients!$C$8*C87^3+Coefficients!$C$10*C87^4)/(1+Coefficients!$C$3*C87+Coefficients!$C$5*C87^2+Coefficients!$C$7*C87^3+Coefficients!$C$9*C87^4+Coefficients!$C$11*C87^5)))</f>
        <v>100</v>
      </c>
      <c r="E87" s="38">
        <f t="shared" si="23"/>
        <v>0</v>
      </c>
      <c r="F87" s="39">
        <f t="shared" si="20"/>
        <v>0</v>
      </c>
      <c r="G87" s="40">
        <f t="shared" si="24"/>
        <v>100</v>
      </c>
    </row>
    <row r="88" spans="1:7" ht="14.25" x14ac:dyDescent="0.2">
      <c r="A88" s="29">
        <f t="shared" si="21"/>
        <v>46260</v>
      </c>
      <c r="B88" s="35">
        <f t="shared" si="22"/>
        <v>52.829568788501028</v>
      </c>
      <c r="C88" s="36">
        <f t="shared" si="19"/>
        <v>120</v>
      </c>
      <c r="D88" s="37">
        <f>IF(C88&lt;=0,0,IF((Coefficients!$C$2+Coefficients!$C$4*C88+Coefficients!$C$6*C88^2+Coefficients!$C$8*C88^3+Coefficients!$C$10*C88^4)/(1+Coefficients!$C$3*C88+Coefficients!$C$5*C88^2+Coefficients!$C$7*C88^3+Coefficients!$C$9*C88^4+Coefficients!$C$11*C88^5)&gt;=100,100,(Coefficients!$C$2+Coefficients!$C$4*C88+Coefficients!$C$6*C88^2+Coefficients!$C$8*C88^3+Coefficients!$C$10*C88^4)/(1+Coefficients!$C$3*C88+Coefficients!$C$5*C88^2+Coefficients!$C$7*C88^3+Coefficients!$C$9*C88^4+Coefficients!$C$11*C88^5)))</f>
        <v>100</v>
      </c>
      <c r="E88" s="38">
        <f t="shared" si="23"/>
        <v>0</v>
      </c>
      <c r="F88" s="39">
        <f t="shared" si="20"/>
        <v>0</v>
      </c>
      <c r="G88" s="40">
        <f t="shared" si="24"/>
        <v>100</v>
      </c>
    </row>
    <row r="89" spans="1:7" ht="14.25" x14ac:dyDescent="0.2">
      <c r="A89" s="29">
        <f t="shared" si="21"/>
        <v>46260</v>
      </c>
      <c r="B89" s="35">
        <f t="shared" si="22"/>
        <v>52.829568788501028</v>
      </c>
      <c r="C89" s="36">
        <f t="shared" si="19"/>
        <v>120</v>
      </c>
      <c r="D89" s="37">
        <f>IF(C89&lt;=0,0,IF((Coefficients!$C$2+Coefficients!$C$4*C89+Coefficients!$C$6*C89^2+Coefficients!$C$8*C89^3+Coefficients!$C$10*C89^4)/(1+Coefficients!$C$3*C89+Coefficients!$C$5*C89^2+Coefficients!$C$7*C89^3+Coefficients!$C$9*C89^4+Coefficients!$C$11*C89^5)&gt;=100,100,(Coefficients!$C$2+Coefficients!$C$4*C89+Coefficients!$C$6*C89^2+Coefficients!$C$8*C89^3+Coefficients!$C$10*C89^4)/(1+Coefficients!$C$3*C89+Coefficients!$C$5*C89^2+Coefficients!$C$7*C89^3+Coefficients!$C$9*C89^4+Coefficients!$C$11*C89^5)))</f>
        <v>100</v>
      </c>
      <c r="E89" s="38">
        <f t="shared" si="23"/>
        <v>0</v>
      </c>
      <c r="F89" s="39">
        <f t="shared" si="20"/>
        <v>0</v>
      </c>
      <c r="G89" s="40">
        <f t="shared" si="24"/>
        <v>100</v>
      </c>
    </row>
    <row r="90" spans="1:7" ht="14.25" x14ac:dyDescent="0.2">
      <c r="A90" s="29">
        <f t="shared" si="21"/>
        <v>46260</v>
      </c>
      <c r="B90" s="35">
        <f t="shared" si="22"/>
        <v>52.829568788501028</v>
      </c>
      <c r="C90" s="36">
        <f t="shared" si="19"/>
        <v>120</v>
      </c>
      <c r="D90" s="37">
        <f>IF(C90&lt;=0,0,IF((Coefficients!$C$2+Coefficients!$C$4*C90+Coefficients!$C$6*C90^2+Coefficients!$C$8*C90^3+Coefficients!$C$10*C90^4)/(1+Coefficients!$C$3*C90+Coefficients!$C$5*C90^2+Coefficients!$C$7*C90^3+Coefficients!$C$9*C90^4+Coefficients!$C$11*C90^5)&gt;=100,100,(Coefficients!$C$2+Coefficients!$C$4*C90+Coefficients!$C$6*C90^2+Coefficients!$C$8*C90^3+Coefficients!$C$10*C90^4)/(1+Coefficients!$C$3*C90+Coefficients!$C$5*C90^2+Coefficients!$C$7*C90^3+Coefficients!$C$9*C90^4+Coefficients!$C$11*C90^5)))</f>
        <v>100</v>
      </c>
      <c r="E90" s="38">
        <f t="shared" si="23"/>
        <v>0</v>
      </c>
      <c r="F90" s="39">
        <f t="shared" si="20"/>
        <v>0</v>
      </c>
      <c r="G90" s="40">
        <f t="shared" si="24"/>
        <v>100</v>
      </c>
    </row>
    <row r="91" spans="1:7" ht="14.25" x14ac:dyDescent="0.2">
      <c r="A91" s="29">
        <f t="shared" si="21"/>
        <v>46260</v>
      </c>
      <c r="B91" s="35">
        <f t="shared" si="22"/>
        <v>52.829568788501028</v>
      </c>
      <c r="C91" s="36">
        <f t="shared" si="19"/>
        <v>120</v>
      </c>
      <c r="D91" s="37">
        <f>IF(C91&lt;=0,0,IF((Coefficients!$C$2+Coefficients!$C$4*C91+Coefficients!$C$6*C91^2+Coefficients!$C$8*C91^3+Coefficients!$C$10*C91^4)/(1+Coefficients!$C$3*C91+Coefficients!$C$5*C91^2+Coefficients!$C$7*C91^3+Coefficients!$C$9*C91^4+Coefficients!$C$11*C91^5)&gt;=100,100,(Coefficients!$C$2+Coefficients!$C$4*C91+Coefficients!$C$6*C91^2+Coefficients!$C$8*C91^3+Coefficients!$C$10*C91^4)/(1+Coefficients!$C$3*C91+Coefficients!$C$5*C91^2+Coefficients!$C$7*C91^3+Coefficients!$C$9*C91^4+Coefficients!$C$11*C91^5)))</f>
        <v>100</v>
      </c>
      <c r="E91" s="38">
        <f t="shared" si="23"/>
        <v>0</v>
      </c>
      <c r="F91" s="39">
        <f t="shared" si="20"/>
        <v>0</v>
      </c>
      <c r="G91" s="40">
        <f t="shared" si="24"/>
        <v>100</v>
      </c>
    </row>
    <row r="92" spans="1:7" ht="14.25" x14ac:dyDescent="0.2">
      <c r="A92" s="29">
        <f t="shared" si="21"/>
        <v>46260</v>
      </c>
      <c r="B92" s="35">
        <f t="shared" si="22"/>
        <v>52.829568788501028</v>
      </c>
      <c r="C92" s="36">
        <f t="shared" si="19"/>
        <v>120</v>
      </c>
      <c r="D92" s="37">
        <f>IF(C92&lt;=0,0,IF((Coefficients!$C$2+Coefficients!$C$4*C92+Coefficients!$C$6*C92^2+Coefficients!$C$8*C92^3+Coefficients!$C$10*C92^4)/(1+Coefficients!$C$3*C92+Coefficients!$C$5*C92^2+Coefficients!$C$7*C92^3+Coefficients!$C$9*C92^4+Coefficients!$C$11*C92^5)&gt;=100,100,(Coefficients!$C$2+Coefficients!$C$4*C92+Coefficients!$C$6*C92^2+Coefficients!$C$8*C92^3+Coefficients!$C$10*C92^4)/(1+Coefficients!$C$3*C92+Coefficients!$C$5*C92^2+Coefficients!$C$7*C92^3+Coefficients!$C$9*C92^4+Coefficients!$C$11*C92^5)))</f>
        <v>100</v>
      </c>
      <c r="E92" s="38">
        <f t="shared" si="23"/>
        <v>0</v>
      </c>
      <c r="F92" s="39">
        <f t="shared" si="20"/>
        <v>0</v>
      </c>
      <c r="G92" s="40">
        <f t="shared" si="24"/>
        <v>100</v>
      </c>
    </row>
    <row r="93" spans="1:7" ht="14.25" x14ac:dyDescent="0.2">
      <c r="A93" s="29">
        <f t="shared" si="21"/>
        <v>46260</v>
      </c>
      <c r="B93" s="35">
        <f t="shared" si="22"/>
        <v>52.829568788501028</v>
      </c>
      <c r="C93" s="36">
        <f t="shared" si="19"/>
        <v>120</v>
      </c>
      <c r="D93" s="37">
        <f>IF(C93&lt;=0,0,IF((Coefficients!$C$2+Coefficients!$C$4*C93+Coefficients!$C$6*C93^2+Coefficients!$C$8*C93^3+Coefficients!$C$10*C93^4)/(1+Coefficients!$C$3*C93+Coefficients!$C$5*C93^2+Coefficients!$C$7*C93^3+Coefficients!$C$9*C93^4+Coefficients!$C$11*C93^5)&gt;=100,100,(Coefficients!$C$2+Coefficients!$C$4*C93+Coefficients!$C$6*C93^2+Coefficients!$C$8*C93^3+Coefficients!$C$10*C93^4)/(1+Coefficients!$C$3*C93+Coefficients!$C$5*C93^2+Coefficients!$C$7*C93^3+Coefficients!$C$9*C93^4+Coefficients!$C$11*C93^5)))</f>
        <v>100</v>
      </c>
      <c r="E93" s="38">
        <f t="shared" si="23"/>
        <v>0</v>
      </c>
      <c r="F93" s="39">
        <f t="shared" si="20"/>
        <v>0</v>
      </c>
      <c r="G93" s="40">
        <f t="shared" si="24"/>
        <v>100</v>
      </c>
    </row>
    <row r="94" spans="1:7" ht="14.25" x14ac:dyDescent="0.2">
      <c r="A94" s="29">
        <f t="shared" si="21"/>
        <v>46260</v>
      </c>
      <c r="B94" s="35">
        <f t="shared" si="22"/>
        <v>52.829568788501028</v>
      </c>
      <c r="C94" s="36">
        <f t="shared" si="19"/>
        <v>120</v>
      </c>
      <c r="D94" s="37">
        <f>IF(C94&lt;=0,0,IF((Coefficients!$C$2+Coefficients!$C$4*C94+Coefficients!$C$6*C94^2+Coefficients!$C$8*C94^3+Coefficients!$C$10*C94^4)/(1+Coefficients!$C$3*C94+Coefficients!$C$5*C94^2+Coefficients!$C$7*C94^3+Coefficients!$C$9*C94^4+Coefficients!$C$11*C94^5)&gt;=100,100,(Coefficients!$C$2+Coefficients!$C$4*C94+Coefficients!$C$6*C94^2+Coefficients!$C$8*C94^3+Coefficients!$C$10*C94^4)/(1+Coefficients!$C$3*C94+Coefficients!$C$5*C94^2+Coefficients!$C$7*C94^3+Coefficients!$C$9*C94^4+Coefficients!$C$11*C94^5)))</f>
        <v>100</v>
      </c>
      <c r="E94" s="38">
        <f t="shared" si="23"/>
        <v>0</v>
      </c>
      <c r="F94" s="39">
        <f t="shared" si="20"/>
        <v>0</v>
      </c>
      <c r="G94" s="40">
        <f t="shared" si="24"/>
        <v>100</v>
      </c>
    </row>
    <row r="95" spans="1:7" ht="14.25" x14ac:dyDescent="0.2">
      <c r="A95" s="29">
        <f t="shared" si="21"/>
        <v>46260</v>
      </c>
      <c r="B95" s="35">
        <f t="shared" si="22"/>
        <v>52.829568788501028</v>
      </c>
      <c r="C95" s="36">
        <f t="shared" si="19"/>
        <v>120</v>
      </c>
      <c r="D95" s="37">
        <f>IF(C95&lt;=0,0,IF((Coefficients!$C$2+Coefficients!$C$4*C95+Coefficients!$C$6*C95^2+Coefficients!$C$8*C95^3+Coefficients!$C$10*C95^4)/(1+Coefficients!$C$3*C95+Coefficients!$C$5*C95^2+Coefficients!$C$7*C95^3+Coefficients!$C$9*C95^4+Coefficients!$C$11*C95^5)&gt;=100,100,(Coefficients!$C$2+Coefficients!$C$4*C95+Coefficients!$C$6*C95^2+Coefficients!$C$8*C95^3+Coefficients!$C$10*C95^4)/(1+Coefficients!$C$3*C95+Coefficients!$C$5*C95^2+Coefficients!$C$7*C95^3+Coefficients!$C$9*C95^4+Coefficients!$C$11*C95^5)))</f>
        <v>100</v>
      </c>
      <c r="E95" s="38">
        <f t="shared" si="23"/>
        <v>0</v>
      </c>
      <c r="F95" s="39">
        <f t="shared" si="20"/>
        <v>0</v>
      </c>
      <c r="G95" s="40">
        <f t="shared" si="24"/>
        <v>100</v>
      </c>
    </row>
    <row r="96" spans="1:7" ht="14.25" x14ac:dyDescent="0.2">
      <c r="A96" s="29">
        <f t="shared" si="21"/>
        <v>46260</v>
      </c>
      <c r="B96" s="35">
        <f t="shared" si="22"/>
        <v>52.829568788501028</v>
      </c>
      <c r="C96" s="36">
        <f t="shared" si="19"/>
        <v>120</v>
      </c>
      <c r="D96" s="37">
        <f>IF(C96&lt;=0,0,IF((Coefficients!$C$2+Coefficients!$C$4*C96+Coefficients!$C$6*C96^2+Coefficients!$C$8*C96^3+Coefficients!$C$10*C96^4)/(1+Coefficients!$C$3*C96+Coefficients!$C$5*C96^2+Coefficients!$C$7*C96^3+Coefficients!$C$9*C96^4+Coefficients!$C$11*C96^5)&gt;=100,100,(Coefficients!$C$2+Coefficients!$C$4*C96+Coefficients!$C$6*C96^2+Coefficients!$C$8*C96^3+Coefficients!$C$10*C96^4)/(1+Coefficients!$C$3*C96+Coefficients!$C$5*C96^2+Coefficients!$C$7*C96^3+Coefficients!$C$9*C96^4+Coefficients!$C$11*C96^5)))</f>
        <v>100</v>
      </c>
      <c r="E96" s="38">
        <f t="shared" si="23"/>
        <v>0</v>
      </c>
      <c r="F96" s="39">
        <f t="shared" si="20"/>
        <v>0</v>
      </c>
      <c r="G96" s="40">
        <f t="shared" si="24"/>
        <v>100</v>
      </c>
    </row>
    <row r="97" spans="1:7" ht="14.25" x14ac:dyDescent="0.2">
      <c r="A97" s="29">
        <f t="shared" si="21"/>
        <v>46260</v>
      </c>
      <c r="B97" s="35">
        <f t="shared" si="22"/>
        <v>52.829568788501028</v>
      </c>
      <c r="C97" s="36">
        <f t="shared" si="19"/>
        <v>120</v>
      </c>
      <c r="D97" s="37">
        <f>IF(C97&lt;=0,0,IF((Coefficients!$C$2+Coefficients!$C$4*C97+Coefficients!$C$6*C97^2+Coefficients!$C$8*C97^3+Coefficients!$C$10*C97^4)/(1+Coefficients!$C$3*C97+Coefficients!$C$5*C97^2+Coefficients!$C$7*C97^3+Coefficients!$C$9*C97^4+Coefficients!$C$11*C97^5)&gt;=100,100,(Coefficients!$C$2+Coefficients!$C$4*C97+Coefficients!$C$6*C97^2+Coefficients!$C$8*C97^3+Coefficients!$C$10*C97^4)/(1+Coefficients!$C$3*C97+Coefficients!$C$5*C97^2+Coefficients!$C$7*C97^3+Coefficients!$C$9*C97^4+Coefficients!$C$11*C97^5)))</f>
        <v>100</v>
      </c>
      <c r="E97" s="38">
        <f t="shared" si="23"/>
        <v>0</v>
      </c>
      <c r="F97" s="39">
        <f t="shared" si="20"/>
        <v>0</v>
      </c>
      <c r="G97" s="40">
        <f t="shared" si="24"/>
        <v>100</v>
      </c>
    </row>
    <row r="98" spans="1:7" ht="14.25" x14ac:dyDescent="0.2">
      <c r="A98" s="29">
        <f t="shared" si="21"/>
        <v>46260</v>
      </c>
      <c r="B98" s="35">
        <f t="shared" si="22"/>
        <v>52.829568788501028</v>
      </c>
      <c r="C98" s="36">
        <f t="shared" si="19"/>
        <v>120</v>
      </c>
      <c r="D98" s="37">
        <f>IF(C98&lt;=0,0,IF((Coefficients!$C$2+Coefficients!$C$4*C98+Coefficients!$C$6*C98^2+Coefficients!$C$8*C98^3+Coefficients!$C$10*C98^4)/(1+Coefficients!$C$3*C98+Coefficients!$C$5*C98^2+Coefficients!$C$7*C98^3+Coefficients!$C$9*C98^4+Coefficients!$C$11*C98^5)&gt;=100,100,(Coefficients!$C$2+Coefficients!$C$4*C98+Coefficients!$C$6*C98^2+Coefficients!$C$8*C98^3+Coefficients!$C$10*C98^4)/(1+Coefficients!$C$3*C98+Coefficients!$C$5*C98^2+Coefficients!$C$7*C98^3+Coefficients!$C$9*C98^4+Coefficients!$C$11*C98^5)))</f>
        <v>100</v>
      </c>
      <c r="E98" s="38">
        <f t="shared" si="23"/>
        <v>0</v>
      </c>
      <c r="F98" s="39">
        <f t="shared" si="20"/>
        <v>0</v>
      </c>
      <c r="G98" s="40">
        <f t="shared" si="24"/>
        <v>100</v>
      </c>
    </row>
    <row r="99" spans="1:7" ht="14.25" x14ac:dyDescent="0.2">
      <c r="A99" s="29">
        <f t="shared" si="21"/>
        <v>46260</v>
      </c>
      <c r="B99" s="35">
        <f t="shared" si="22"/>
        <v>52.829568788501028</v>
      </c>
      <c r="C99" s="36">
        <f t="shared" si="19"/>
        <v>120</v>
      </c>
      <c r="D99" s="37">
        <f>IF(C99&lt;=0,0,IF((Coefficients!$C$2+Coefficients!$C$4*C99+Coefficients!$C$6*C99^2+Coefficients!$C$8*C99^3+Coefficients!$C$10*C99^4)/(1+Coefficients!$C$3*C99+Coefficients!$C$5*C99^2+Coefficients!$C$7*C99^3+Coefficients!$C$9*C99^4+Coefficients!$C$11*C99^5)&gt;=100,100,(Coefficients!$C$2+Coefficients!$C$4*C99+Coefficients!$C$6*C99^2+Coefficients!$C$8*C99^3+Coefficients!$C$10*C99^4)/(1+Coefficients!$C$3*C99+Coefficients!$C$5*C99^2+Coefficients!$C$7*C99^3+Coefficients!$C$9*C99^4+Coefficients!$C$11*C99^5)))</f>
        <v>100</v>
      </c>
      <c r="E99" s="38">
        <f t="shared" si="23"/>
        <v>0</v>
      </c>
      <c r="F99" s="39">
        <f t="shared" si="20"/>
        <v>0</v>
      </c>
      <c r="G99" s="40">
        <f t="shared" si="24"/>
        <v>100</v>
      </c>
    </row>
    <row r="100" spans="1:7" ht="14.25" x14ac:dyDescent="0.2">
      <c r="A100" s="29">
        <f t="shared" si="21"/>
        <v>46260</v>
      </c>
      <c r="B100" s="35">
        <f t="shared" si="22"/>
        <v>52.829568788501028</v>
      </c>
      <c r="C100" s="36">
        <f t="shared" si="19"/>
        <v>120</v>
      </c>
      <c r="D100" s="37">
        <f>IF(C100&lt;=0,0,IF((Coefficients!$C$2+Coefficients!$C$4*C100+Coefficients!$C$6*C100^2+Coefficients!$C$8*C100^3+Coefficients!$C$10*C100^4)/(1+Coefficients!$C$3*C100+Coefficients!$C$5*C100^2+Coefficients!$C$7*C100^3+Coefficients!$C$9*C100^4+Coefficients!$C$11*C100^5)&gt;=100,100,(Coefficients!$C$2+Coefficients!$C$4*C100+Coefficients!$C$6*C100^2+Coefficients!$C$8*C100^3+Coefficients!$C$10*C100^4)/(1+Coefficients!$C$3*C100+Coefficients!$C$5*C100^2+Coefficients!$C$7*C100^3+Coefficients!$C$9*C100^4+Coefficients!$C$11*C100^5)))</f>
        <v>100</v>
      </c>
      <c r="E100" s="38">
        <f t="shared" si="23"/>
        <v>0</v>
      </c>
      <c r="F100" s="39">
        <f t="shared" si="20"/>
        <v>0</v>
      </c>
      <c r="G100" s="40">
        <f t="shared" si="24"/>
        <v>100</v>
      </c>
    </row>
    <row r="101" spans="1:7" ht="14.25" x14ac:dyDescent="0.2">
      <c r="A101" s="29">
        <f t="shared" si="21"/>
        <v>46260</v>
      </c>
      <c r="B101" s="35">
        <f t="shared" si="22"/>
        <v>52.829568788501028</v>
      </c>
      <c r="C101" s="36">
        <f t="shared" si="19"/>
        <v>120</v>
      </c>
      <c r="D101" s="37">
        <f>IF(C101&lt;=0,0,IF((Coefficients!$C$2+Coefficients!$C$4*C101+Coefficients!$C$6*C101^2+Coefficients!$C$8*C101^3+Coefficients!$C$10*C101^4)/(1+Coefficients!$C$3*C101+Coefficients!$C$5*C101^2+Coefficients!$C$7*C101^3+Coefficients!$C$9*C101^4+Coefficients!$C$11*C101^5)&gt;=100,100,(Coefficients!$C$2+Coefficients!$C$4*C101+Coefficients!$C$6*C101^2+Coefficients!$C$8*C101^3+Coefficients!$C$10*C101^4)/(1+Coefficients!$C$3*C101+Coefficients!$C$5*C101^2+Coefficients!$C$7*C101^3+Coefficients!$C$9*C101^4+Coefficients!$C$11*C101^5)))</f>
        <v>100</v>
      </c>
      <c r="E101" s="38">
        <f t="shared" si="23"/>
        <v>0</v>
      </c>
      <c r="F101" s="39">
        <f t="shared" si="20"/>
        <v>0</v>
      </c>
      <c r="G101" s="40">
        <f t="shared" si="24"/>
        <v>100</v>
      </c>
    </row>
    <row r="102" spans="1:7" ht="14.25" x14ac:dyDescent="0.2">
      <c r="A102" s="29">
        <f t="shared" si="21"/>
        <v>46260</v>
      </c>
      <c r="B102" s="35">
        <f t="shared" si="22"/>
        <v>52.829568788501028</v>
      </c>
      <c r="C102" s="36">
        <f t="shared" si="19"/>
        <v>120</v>
      </c>
      <c r="D102" s="37">
        <f>IF(C102&lt;=0,0,IF((Coefficients!$C$2+Coefficients!$C$4*C102+Coefficients!$C$6*C102^2+Coefficients!$C$8*C102^3+Coefficients!$C$10*C102^4)/(1+Coefficients!$C$3*C102+Coefficients!$C$5*C102^2+Coefficients!$C$7*C102^3+Coefficients!$C$9*C102^4+Coefficients!$C$11*C102^5)&gt;=100,100,(Coefficients!$C$2+Coefficients!$C$4*C102+Coefficients!$C$6*C102^2+Coefficients!$C$8*C102^3+Coefficients!$C$10*C102^4)/(1+Coefficients!$C$3*C102+Coefficients!$C$5*C102^2+Coefficients!$C$7*C102^3+Coefficients!$C$9*C102^4+Coefficients!$C$11*C102^5)))</f>
        <v>100</v>
      </c>
      <c r="E102" s="38">
        <f t="shared" si="23"/>
        <v>0</v>
      </c>
      <c r="F102" s="39">
        <f t="shared" si="20"/>
        <v>0</v>
      </c>
      <c r="G102" s="40">
        <f t="shared" si="24"/>
        <v>100</v>
      </c>
    </row>
    <row r="103" spans="1:7" ht="14.25" x14ac:dyDescent="0.2">
      <c r="A103" s="29">
        <f t="shared" si="21"/>
        <v>46260</v>
      </c>
      <c r="B103" s="35">
        <f t="shared" si="22"/>
        <v>52.829568788501028</v>
      </c>
      <c r="C103" s="36">
        <f t="shared" si="19"/>
        <v>120</v>
      </c>
      <c r="D103" s="37">
        <f>IF(C103&lt;=0,0,IF((Coefficients!$C$2+Coefficients!$C$4*C103+Coefficients!$C$6*C103^2+Coefficients!$C$8*C103^3+Coefficients!$C$10*C103^4)/(1+Coefficients!$C$3*C103+Coefficients!$C$5*C103^2+Coefficients!$C$7*C103^3+Coefficients!$C$9*C103^4+Coefficients!$C$11*C103^5)&gt;=100,100,(Coefficients!$C$2+Coefficients!$C$4*C103+Coefficients!$C$6*C103^2+Coefficients!$C$8*C103^3+Coefficients!$C$10*C103^4)/(1+Coefficients!$C$3*C103+Coefficients!$C$5*C103^2+Coefficients!$C$7*C103^3+Coefficients!$C$9*C103^4+Coefficients!$C$11*C103^5)))</f>
        <v>100</v>
      </c>
      <c r="E103" s="38">
        <f t="shared" si="23"/>
        <v>0</v>
      </c>
      <c r="F103" s="39">
        <f t="shared" si="20"/>
        <v>0</v>
      </c>
      <c r="G103" s="40">
        <f t="shared" si="24"/>
        <v>100</v>
      </c>
    </row>
    <row r="104" spans="1:7" ht="14.25" x14ac:dyDescent="0.2">
      <c r="A104" s="29">
        <f t="shared" si="21"/>
        <v>46260</v>
      </c>
      <c r="B104" s="35">
        <f t="shared" si="22"/>
        <v>52.829568788501028</v>
      </c>
      <c r="C104" s="36">
        <f t="shared" si="19"/>
        <v>120</v>
      </c>
      <c r="D104" s="37">
        <f>IF(C104&lt;=0,0,IF((Coefficients!$C$2+Coefficients!$C$4*C104+Coefficients!$C$6*C104^2+Coefficients!$C$8*C104^3+Coefficients!$C$10*C104^4)/(1+Coefficients!$C$3*C104+Coefficients!$C$5*C104^2+Coefficients!$C$7*C104^3+Coefficients!$C$9*C104^4+Coefficients!$C$11*C104^5)&gt;=100,100,(Coefficients!$C$2+Coefficients!$C$4*C104+Coefficients!$C$6*C104^2+Coefficients!$C$8*C104^3+Coefficients!$C$10*C104^4)/(1+Coefficients!$C$3*C104+Coefficients!$C$5*C104^2+Coefficients!$C$7*C104^3+Coefficients!$C$9*C104^4+Coefficients!$C$11*C104^5)))</f>
        <v>100</v>
      </c>
      <c r="E104" s="38">
        <f t="shared" si="23"/>
        <v>0</v>
      </c>
      <c r="F104" s="39">
        <f t="shared" si="20"/>
        <v>0</v>
      </c>
      <c r="G104" s="40">
        <f t="shared" si="24"/>
        <v>100</v>
      </c>
    </row>
    <row r="105" spans="1:7" ht="14.25" x14ac:dyDescent="0.2">
      <c r="A105" s="29">
        <f t="shared" si="21"/>
        <v>46260</v>
      </c>
      <c r="B105" s="35">
        <f t="shared" si="22"/>
        <v>52.829568788501028</v>
      </c>
      <c r="C105" s="36">
        <f t="shared" si="19"/>
        <v>120</v>
      </c>
      <c r="D105" s="37">
        <f>IF(C105&lt;=0,0,IF((Coefficients!$C$2+Coefficients!$C$4*C105+Coefficients!$C$6*C105^2+Coefficients!$C$8*C105^3+Coefficients!$C$10*C105^4)/(1+Coefficients!$C$3*C105+Coefficients!$C$5*C105^2+Coefficients!$C$7*C105^3+Coefficients!$C$9*C105^4+Coefficients!$C$11*C105^5)&gt;=100,100,(Coefficients!$C$2+Coefficients!$C$4*C105+Coefficients!$C$6*C105^2+Coefficients!$C$8*C105^3+Coefficients!$C$10*C105^4)/(1+Coefficients!$C$3*C105+Coefficients!$C$5*C105^2+Coefficients!$C$7*C105^3+Coefficients!$C$9*C105^4+Coefficients!$C$11*C105^5)))</f>
        <v>100</v>
      </c>
      <c r="E105" s="38">
        <f t="shared" si="23"/>
        <v>0</v>
      </c>
      <c r="F105" s="39">
        <f t="shared" si="20"/>
        <v>0</v>
      </c>
      <c r="G105" s="40">
        <f t="shared" si="24"/>
        <v>100</v>
      </c>
    </row>
    <row r="106" spans="1:7" ht="14.25" x14ac:dyDescent="0.2">
      <c r="A106" s="29">
        <f t="shared" si="21"/>
        <v>46260</v>
      </c>
      <c r="B106" s="35">
        <f t="shared" si="22"/>
        <v>52.829568788501028</v>
      </c>
      <c r="C106" s="36">
        <f t="shared" si="19"/>
        <v>120</v>
      </c>
      <c r="D106" s="37">
        <f>IF(C106&lt;=0,0,IF((Coefficients!$C$2+Coefficients!$C$4*C106+Coefficients!$C$6*C106^2+Coefficients!$C$8*C106^3+Coefficients!$C$10*C106^4)/(1+Coefficients!$C$3*C106+Coefficients!$C$5*C106^2+Coefficients!$C$7*C106^3+Coefficients!$C$9*C106^4+Coefficients!$C$11*C106^5)&gt;=100,100,(Coefficients!$C$2+Coefficients!$C$4*C106+Coefficients!$C$6*C106^2+Coefficients!$C$8*C106^3+Coefficients!$C$10*C106^4)/(1+Coefficients!$C$3*C106+Coefficients!$C$5*C106^2+Coefficients!$C$7*C106^3+Coefficients!$C$9*C106^4+Coefficients!$C$11*C106^5)))</f>
        <v>100</v>
      </c>
      <c r="E106" s="38">
        <f t="shared" si="23"/>
        <v>0</v>
      </c>
      <c r="F106" s="39">
        <f t="shared" si="20"/>
        <v>0</v>
      </c>
      <c r="G106" s="40">
        <f t="shared" si="24"/>
        <v>100</v>
      </c>
    </row>
    <row r="107" spans="1:7" ht="14.25" x14ac:dyDescent="0.2">
      <c r="A107" s="29">
        <f t="shared" si="21"/>
        <v>46260</v>
      </c>
      <c r="B107" s="35">
        <f t="shared" si="22"/>
        <v>52.829568788501028</v>
      </c>
      <c r="C107" s="36">
        <f t="shared" si="19"/>
        <v>120</v>
      </c>
      <c r="D107" s="37">
        <f>IF(C107&lt;=0,0,IF((Coefficients!$C$2+Coefficients!$C$4*C107+Coefficients!$C$6*C107^2+Coefficients!$C$8*C107^3+Coefficients!$C$10*C107^4)/(1+Coefficients!$C$3*C107+Coefficients!$C$5*C107^2+Coefficients!$C$7*C107^3+Coefficients!$C$9*C107^4+Coefficients!$C$11*C107^5)&gt;=100,100,(Coefficients!$C$2+Coefficients!$C$4*C107+Coefficients!$C$6*C107^2+Coefficients!$C$8*C107^3+Coefficients!$C$10*C107^4)/(1+Coefficients!$C$3*C107+Coefficients!$C$5*C107^2+Coefficients!$C$7*C107^3+Coefficients!$C$9*C107^4+Coefficients!$C$11*C107^5)))</f>
        <v>100</v>
      </c>
      <c r="E107" s="38">
        <f t="shared" si="23"/>
        <v>0</v>
      </c>
      <c r="F107" s="39">
        <f t="shared" si="20"/>
        <v>0</v>
      </c>
      <c r="G107" s="40">
        <f t="shared" si="24"/>
        <v>100</v>
      </c>
    </row>
    <row r="108" spans="1:7" ht="14.25" x14ac:dyDescent="0.2">
      <c r="A108" s="29">
        <f t="shared" si="21"/>
        <v>46260</v>
      </c>
      <c r="B108" s="35">
        <f t="shared" si="22"/>
        <v>52.829568788501028</v>
      </c>
      <c r="C108" s="36">
        <f t="shared" si="19"/>
        <v>120</v>
      </c>
      <c r="D108" s="37">
        <f>IF(C108&lt;=0,0,IF((Coefficients!$C$2+Coefficients!$C$4*C108+Coefficients!$C$6*C108^2+Coefficients!$C$8*C108^3+Coefficients!$C$10*C108^4)/(1+Coefficients!$C$3*C108+Coefficients!$C$5*C108^2+Coefficients!$C$7*C108^3+Coefficients!$C$9*C108^4+Coefficients!$C$11*C108^5)&gt;=100,100,(Coefficients!$C$2+Coefficients!$C$4*C108+Coefficients!$C$6*C108^2+Coefficients!$C$8*C108^3+Coefficients!$C$10*C108^4)/(1+Coefficients!$C$3*C108+Coefficients!$C$5*C108^2+Coefficients!$C$7*C108^3+Coefficients!$C$9*C108^4+Coefficients!$C$11*C108^5)))</f>
        <v>100</v>
      </c>
      <c r="E108" s="38">
        <f t="shared" si="23"/>
        <v>0</v>
      </c>
      <c r="F108" s="39">
        <f t="shared" si="20"/>
        <v>0</v>
      </c>
      <c r="G108" s="40">
        <f t="shared" si="24"/>
        <v>100</v>
      </c>
    </row>
    <row r="109" spans="1:7" ht="14.25" x14ac:dyDescent="0.2">
      <c r="A109" s="29">
        <f t="shared" si="21"/>
        <v>46260</v>
      </c>
      <c r="B109" s="35">
        <f t="shared" si="22"/>
        <v>52.829568788501028</v>
      </c>
      <c r="C109" s="36">
        <f t="shared" si="19"/>
        <v>120</v>
      </c>
      <c r="D109" s="37">
        <f>IF(C109&lt;=0,0,IF((Coefficients!$C$2+Coefficients!$C$4*C109+Coefficients!$C$6*C109^2+Coefficients!$C$8*C109^3+Coefficients!$C$10*C109^4)/(1+Coefficients!$C$3*C109+Coefficients!$C$5*C109^2+Coefficients!$C$7*C109^3+Coefficients!$C$9*C109^4+Coefficients!$C$11*C109^5)&gt;=100,100,(Coefficients!$C$2+Coefficients!$C$4*C109+Coefficients!$C$6*C109^2+Coefficients!$C$8*C109^3+Coefficients!$C$10*C109^4)/(1+Coefficients!$C$3*C109+Coefficients!$C$5*C109^2+Coefficients!$C$7*C109^3+Coefficients!$C$9*C109^4+Coefficients!$C$11*C109^5)))</f>
        <v>100</v>
      </c>
      <c r="E109" s="38">
        <f t="shared" si="23"/>
        <v>0</v>
      </c>
      <c r="F109" s="39">
        <f t="shared" si="20"/>
        <v>0</v>
      </c>
      <c r="G109" s="40">
        <f t="shared" si="24"/>
        <v>100</v>
      </c>
    </row>
    <row r="110" spans="1:7" ht="14.25" x14ac:dyDescent="0.2">
      <c r="A110" s="29">
        <f t="shared" si="21"/>
        <v>46260</v>
      </c>
      <c r="B110" s="35">
        <f t="shared" si="22"/>
        <v>52.829568788501028</v>
      </c>
      <c r="C110" s="36">
        <f t="shared" si="19"/>
        <v>120</v>
      </c>
      <c r="D110" s="37">
        <f>IF(C110&lt;=0,0,IF((Coefficients!$C$2+Coefficients!$C$4*C110+Coefficients!$C$6*C110^2+Coefficients!$C$8*C110^3+Coefficients!$C$10*C110^4)/(1+Coefficients!$C$3*C110+Coefficients!$C$5*C110^2+Coefficients!$C$7*C110^3+Coefficients!$C$9*C110^4+Coefficients!$C$11*C110^5)&gt;=100,100,(Coefficients!$C$2+Coefficients!$C$4*C110+Coefficients!$C$6*C110^2+Coefficients!$C$8*C110^3+Coefficients!$C$10*C110^4)/(1+Coefficients!$C$3*C110+Coefficients!$C$5*C110^2+Coefficients!$C$7*C110^3+Coefficients!$C$9*C110^4+Coefficients!$C$11*C110^5)))</f>
        <v>100</v>
      </c>
      <c r="E110" s="38">
        <f t="shared" si="23"/>
        <v>0</v>
      </c>
      <c r="F110" s="39">
        <f t="shared" si="20"/>
        <v>0</v>
      </c>
      <c r="G110" s="40">
        <f t="shared" si="24"/>
        <v>100</v>
      </c>
    </row>
    <row r="111" spans="1:7" ht="14.25" x14ac:dyDescent="0.2">
      <c r="A111" s="29">
        <f t="shared" si="21"/>
        <v>46260</v>
      </c>
      <c r="B111" s="35">
        <f t="shared" si="22"/>
        <v>52.829568788501028</v>
      </c>
      <c r="C111" s="36">
        <f t="shared" si="19"/>
        <v>120</v>
      </c>
      <c r="D111" s="37">
        <f>IF(C111&lt;=0,0,IF((Coefficients!$C$2+Coefficients!$C$4*C111+Coefficients!$C$6*C111^2+Coefficients!$C$8*C111^3+Coefficients!$C$10*C111^4)/(1+Coefficients!$C$3*C111+Coefficients!$C$5*C111^2+Coefficients!$C$7*C111^3+Coefficients!$C$9*C111^4+Coefficients!$C$11*C111^5)&gt;=100,100,(Coefficients!$C$2+Coefficients!$C$4*C111+Coefficients!$C$6*C111^2+Coefficients!$C$8*C111^3+Coefficients!$C$10*C111^4)/(1+Coefficients!$C$3*C111+Coefficients!$C$5*C111^2+Coefficients!$C$7*C111^3+Coefficients!$C$9*C111^4+Coefficients!$C$11*C111^5)))</f>
        <v>100</v>
      </c>
      <c r="E111" s="38">
        <f t="shared" si="23"/>
        <v>0</v>
      </c>
      <c r="F111" s="39">
        <f t="shared" si="20"/>
        <v>0</v>
      </c>
      <c r="G111" s="40">
        <f t="shared" si="24"/>
        <v>100</v>
      </c>
    </row>
    <row r="112" spans="1:7" ht="14.25" x14ac:dyDescent="0.2">
      <c r="A112" s="29">
        <f t="shared" si="21"/>
        <v>46260</v>
      </c>
      <c r="B112" s="35">
        <f t="shared" si="22"/>
        <v>52.829568788501028</v>
      </c>
      <c r="C112" s="36">
        <f t="shared" si="19"/>
        <v>120</v>
      </c>
      <c r="D112" s="37">
        <f>IF(C112&lt;=0,0,IF((Coefficients!$C$2+Coefficients!$C$4*C112+Coefficients!$C$6*C112^2+Coefficients!$C$8*C112^3+Coefficients!$C$10*C112^4)/(1+Coefficients!$C$3*C112+Coefficients!$C$5*C112^2+Coefficients!$C$7*C112^3+Coefficients!$C$9*C112^4+Coefficients!$C$11*C112^5)&gt;=100,100,(Coefficients!$C$2+Coefficients!$C$4*C112+Coefficients!$C$6*C112^2+Coefficients!$C$8*C112^3+Coefficients!$C$10*C112^4)/(1+Coefficients!$C$3*C112+Coefficients!$C$5*C112^2+Coefficients!$C$7*C112^3+Coefficients!$C$9*C112^4+Coefficients!$C$11*C112^5)))</f>
        <v>100</v>
      </c>
      <c r="E112" s="38">
        <f t="shared" si="23"/>
        <v>0</v>
      </c>
      <c r="F112" s="39">
        <f t="shared" si="20"/>
        <v>0</v>
      </c>
      <c r="G112" s="40">
        <f t="shared" si="24"/>
        <v>100</v>
      </c>
    </row>
    <row r="113" spans="1:7" ht="14.25" x14ac:dyDescent="0.2">
      <c r="A113" s="29">
        <f t="shared" si="21"/>
        <v>46260</v>
      </c>
      <c r="B113" s="35">
        <f t="shared" si="22"/>
        <v>52.829568788501028</v>
      </c>
      <c r="C113" s="36">
        <f t="shared" si="19"/>
        <v>120</v>
      </c>
      <c r="D113" s="37">
        <f>IF(C113&lt;=0,0,IF((Coefficients!$C$2+Coefficients!$C$4*C113+Coefficients!$C$6*C113^2+Coefficients!$C$8*C113^3+Coefficients!$C$10*C113^4)/(1+Coefficients!$C$3*C113+Coefficients!$C$5*C113^2+Coefficients!$C$7*C113^3+Coefficients!$C$9*C113^4+Coefficients!$C$11*C113^5)&gt;=100,100,(Coefficients!$C$2+Coefficients!$C$4*C113+Coefficients!$C$6*C113^2+Coefficients!$C$8*C113^3+Coefficients!$C$10*C113^4)/(1+Coefficients!$C$3*C113+Coefficients!$C$5*C113^2+Coefficients!$C$7*C113^3+Coefficients!$C$9*C113^4+Coefficients!$C$11*C113^5)))</f>
        <v>100</v>
      </c>
      <c r="E113" s="38">
        <f t="shared" si="23"/>
        <v>0</v>
      </c>
      <c r="F113" s="39">
        <f t="shared" si="20"/>
        <v>0</v>
      </c>
      <c r="G113" s="40">
        <f t="shared" si="24"/>
        <v>100</v>
      </c>
    </row>
    <row r="114" spans="1:7" ht="14.25" x14ac:dyDescent="0.2">
      <c r="A114" s="29">
        <f t="shared" si="21"/>
        <v>46260</v>
      </c>
      <c r="B114" s="35">
        <f t="shared" si="22"/>
        <v>52.829568788501028</v>
      </c>
      <c r="C114" s="36">
        <f t="shared" si="19"/>
        <v>120</v>
      </c>
      <c r="D114" s="37">
        <f>IF(C114&lt;=0,0,IF((Coefficients!$C$2+Coefficients!$C$4*C114+Coefficients!$C$6*C114^2+Coefficients!$C$8*C114^3+Coefficients!$C$10*C114^4)/(1+Coefficients!$C$3*C114+Coefficients!$C$5*C114^2+Coefficients!$C$7*C114^3+Coefficients!$C$9*C114^4+Coefficients!$C$11*C114^5)&gt;=100,100,(Coefficients!$C$2+Coefficients!$C$4*C114+Coefficients!$C$6*C114^2+Coefficients!$C$8*C114^3+Coefficients!$C$10*C114^4)/(1+Coefficients!$C$3*C114+Coefficients!$C$5*C114^2+Coefficients!$C$7*C114^3+Coefficients!$C$9*C114^4+Coefficients!$C$11*C114^5)))</f>
        <v>100</v>
      </c>
      <c r="E114" s="38">
        <f t="shared" si="23"/>
        <v>0</v>
      </c>
      <c r="F114" s="39">
        <f t="shared" si="20"/>
        <v>0</v>
      </c>
      <c r="G114" s="40">
        <f t="shared" si="24"/>
        <v>100</v>
      </c>
    </row>
    <row r="115" spans="1:7" ht="14.25" x14ac:dyDescent="0.2">
      <c r="A115" s="29">
        <f t="shared" si="21"/>
        <v>46260</v>
      </c>
      <c r="B115" s="35">
        <f t="shared" si="22"/>
        <v>52.829568788501028</v>
      </c>
      <c r="C115" s="36">
        <f t="shared" si="19"/>
        <v>120</v>
      </c>
      <c r="D115" s="37">
        <f>IF(C115&lt;=0,0,IF((Coefficients!$C$2+Coefficients!$C$4*C115+Coefficients!$C$6*C115^2+Coefficients!$C$8*C115^3+Coefficients!$C$10*C115^4)/(1+Coefficients!$C$3*C115+Coefficients!$C$5*C115^2+Coefficients!$C$7*C115^3+Coefficients!$C$9*C115^4+Coefficients!$C$11*C115^5)&gt;=100,100,(Coefficients!$C$2+Coefficients!$C$4*C115+Coefficients!$C$6*C115^2+Coefficients!$C$8*C115^3+Coefficients!$C$10*C115^4)/(1+Coefficients!$C$3*C115+Coefficients!$C$5*C115^2+Coefficients!$C$7*C115^3+Coefficients!$C$9*C115^4+Coefficients!$C$11*C115^5)))</f>
        <v>100</v>
      </c>
      <c r="E115" s="38">
        <f t="shared" si="23"/>
        <v>0</v>
      </c>
      <c r="F115" s="39">
        <f t="shared" si="20"/>
        <v>0</v>
      </c>
      <c r="G115" s="40">
        <f t="shared" si="24"/>
        <v>100</v>
      </c>
    </row>
    <row r="116" spans="1:7" ht="14.25" x14ac:dyDescent="0.2">
      <c r="A116" s="29">
        <f t="shared" si="21"/>
        <v>46260</v>
      </c>
      <c r="B116" s="35">
        <f t="shared" si="22"/>
        <v>52.829568788501028</v>
      </c>
      <c r="C116" s="36">
        <f t="shared" ref="C116:C145" si="25">+B116/$C$5*100</f>
        <v>120</v>
      </c>
      <c r="D116" s="37">
        <f>IF(C116&lt;=0,0,IF((Coefficients!$C$2+Coefficients!$C$4*C116+Coefficients!$C$6*C116^2+Coefficients!$C$8*C116^3+Coefficients!$C$10*C116^4)/(1+Coefficients!$C$3*C116+Coefficients!$C$5*C116^2+Coefficients!$C$7*C116^3+Coefficients!$C$9*C116^4+Coefficients!$C$11*C116^5)&gt;=100,100,(Coefficients!$C$2+Coefficients!$C$4*C116+Coefficients!$C$6*C116^2+Coefficients!$C$8*C116^3+Coefficients!$C$10*C116^4)/(1+Coefficients!$C$3*C116+Coefficients!$C$5*C116^2+Coefficients!$C$7*C116^3+Coefficients!$C$9*C116^4+Coefficients!$C$11*C116^5)))</f>
        <v>100</v>
      </c>
      <c r="E116" s="38">
        <f t="shared" si="23"/>
        <v>0</v>
      </c>
      <c r="F116" s="39">
        <f t="shared" ref="F116:F145" si="26">$C$6*(E116/100)</f>
        <v>0</v>
      </c>
      <c r="G116" s="40">
        <f t="shared" si="24"/>
        <v>100</v>
      </c>
    </row>
    <row r="117" spans="1:7" ht="14.25" x14ac:dyDescent="0.2">
      <c r="A117" s="29">
        <f t="shared" ref="A117:A145" si="27">A116+((B117-B116)*365.25/12)</f>
        <v>46260</v>
      </c>
      <c r="B117" s="35">
        <f t="shared" ref="B117:B180" si="28">+IF(B116+1&gt;=$C$5*1.2,$C$5*1.2,B116+1)</f>
        <v>52.829568788501028</v>
      </c>
      <c r="C117" s="36">
        <f t="shared" si="25"/>
        <v>120</v>
      </c>
      <c r="D117" s="37">
        <f>IF(C117&lt;=0,0,IF((Coefficients!$C$2+Coefficients!$C$4*C117+Coefficients!$C$6*C117^2+Coefficients!$C$8*C117^3+Coefficients!$C$10*C117^4)/(1+Coefficients!$C$3*C117+Coefficients!$C$5*C117^2+Coefficients!$C$7*C117^3+Coefficients!$C$9*C117^4+Coefficients!$C$11*C117^5)&gt;=100,100,(Coefficients!$C$2+Coefficients!$C$4*C117+Coefficients!$C$6*C117^2+Coefficients!$C$8*C117^3+Coefficients!$C$10*C117^4)/(1+Coefficients!$C$3*C117+Coefficients!$C$5*C117^2+Coefficients!$C$7*C117^3+Coefficients!$C$9*C117^4+Coefficients!$C$11*C117^5)))</f>
        <v>100</v>
      </c>
      <c r="E117" s="38">
        <f t="shared" ref="E117:E145" si="29">+D117-D116</f>
        <v>0</v>
      </c>
      <c r="F117" s="39">
        <f t="shared" si="26"/>
        <v>0</v>
      </c>
      <c r="G117" s="40">
        <f t="shared" ref="G117:G145" si="30">IF(D116=100,G116,G116+F117)</f>
        <v>100</v>
      </c>
    </row>
    <row r="118" spans="1:7" ht="14.25" x14ac:dyDescent="0.2">
      <c r="A118" s="29">
        <f t="shared" si="27"/>
        <v>46260</v>
      </c>
      <c r="B118" s="35">
        <f t="shared" si="28"/>
        <v>52.829568788501028</v>
      </c>
      <c r="C118" s="36">
        <f t="shared" si="25"/>
        <v>120</v>
      </c>
      <c r="D118" s="37">
        <f>IF(C118&lt;=0,0,IF((Coefficients!$C$2+Coefficients!$C$4*C118+Coefficients!$C$6*C118^2+Coefficients!$C$8*C118^3+Coefficients!$C$10*C118^4)/(1+Coefficients!$C$3*C118+Coefficients!$C$5*C118^2+Coefficients!$C$7*C118^3+Coefficients!$C$9*C118^4+Coefficients!$C$11*C118^5)&gt;=100,100,(Coefficients!$C$2+Coefficients!$C$4*C118+Coefficients!$C$6*C118^2+Coefficients!$C$8*C118^3+Coefficients!$C$10*C118^4)/(1+Coefficients!$C$3*C118+Coefficients!$C$5*C118^2+Coefficients!$C$7*C118^3+Coefficients!$C$9*C118^4+Coefficients!$C$11*C118^5)))</f>
        <v>100</v>
      </c>
      <c r="E118" s="38">
        <f t="shared" si="29"/>
        <v>0</v>
      </c>
      <c r="F118" s="39">
        <f t="shared" si="26"/>
        <v>0</v>
      </c>
      <c r="G118" s="40">
        <f t="shared" si="30"/>
        <v>100</v>
      </c>
    </row>
    <row r="119" spans="1:7" ht="14.25" x14ac:dyDescent="0.2">
      <c r="A119" s="29">
        <f t="shared" si="27"/>
        <v>46260</v>
      </c>
      <c r="B119" s="35">
        <f t="shared" si="28"/>
        <v>52.829568788501028</v>
      </c>
      <c r="C119" s="36">
        <f t="shared" si="25"/>
        <v>120</v>
      </c>
      <c r="D119" s="37">
        <f>IF(C119&lt;=0,0,IF((Coefficients!$C$2+Coefficients!$C$4*C119+Coefficients!$C$6*C119^2+Coefficients!$C$8*C119^3+Coefficients!$C$10*C119^4)/(1+Coefficients!$C$3*C119+Coefficients!$C$5*C119^2+Coefficients!$C$7*C119^3+Coefficients!$C$9*C119^4+Coefficients!$C$11*C119^5)&gt;=100,100,(Coefficients!$C$2+Coefficients!$C$4*C119+Coefficients!$C$6*C119^2+Coefficients!$C$8*C119^3+Coefficients!$C$10*C119^4)/(1+Coefficients!$C$3*C119+Coefficients!$C$5*C119^2+Coefficients!$C$7*C119^3+Coefficients!$C$9*C119^4+Coefficients!$C$11*C119^5)))</f>
        <v>100</v>
      </c>
      <c r="E119" s="38">
        <f t="shared" si="29"/>
        <v>0</v>
      </c>
      <c r="F119" s="39">
        <f t="shared" si="26"/>
        <v>0</v>
      </c>
      <c r="G119" s="40">
        <f t="shared" si="30"/>
        <v>100</v>
      </c>
    </row>
    <row r="120" spans="1:7" ht="14.25" x14ac:dyDescent="0.2">
      <c r="A120" s="29">
        <f t="shared" si="27"/>
        <v>46260</v>
      </c>
      <c r="B120" s="35">
        <f t="shared" si="28"/>
        <v>52.829568788501028</v>
      </c>
      <c r="C120" s="36">
        <f t="shared" si="25"/>
        <v>120</v>
      </c>
      <c r="D120" s="37">
        <f>IF(C120&lt;=0,0,IF((Coefficients!$C$2+Coefficients!$C$4*C120+Coefficients!$C$6*C120^2+Coefficients!$C$8*C120^3+Coefficients!$C$10*C120^4)/(1+Coefficients!$C$3*C120+Coefficients!$C$5*C120^2+Coefficients!$C$7*C120^3+Coefficients!$C$9*C120^4+Coefficients!$C$11*C120^5)&gt;=100,100,(Coefficients!$C$2+Coefficients!$C$4*C120+Coefficients!$C$6*C120^2+Coefficients!$C$8*C120^3+Coefficients!$C$10*C120^4)/(1+Coefficients!$C$3*C120+Coefficients!$C$5*C120^2+Coefficients!$C$7*C120^3+Coefficients!$C$9*C120^4+Coefficients!$C$11*C120^5)))</f>
        <v>100</v>
      </c>
      <c r="E120" s="38">
        <f t="shared" si="29"/>
        <v>0</v>
      </c>
      <c r="F120" s="39">
        <f t="shared" si="26"/>
        <v>0</v>
      </c>
      <c r="G120" s="40">
        <f t="shared" si="30"/>
        <v>100</v>
      </c>
    </row>
    <row r="121" spans="1:7" ht="14.25" x14ac:dyDescent="0.2">
      <c r="A121" s="29">
        <f t="shared" si="27"/>
        <v>46260</v>
      </c>
      <c r="B121" s="35">
        <f t="shared" si="28"/>
        <v>52.829568788501028</v>
      </c>
      <c r="C121" s="36">
        <f t="shared" si="25"/>
        <v>120</v>
      </c>
      <c r="D121" s="37">
        <f>IF(C121&lt;=0,0,IF((Coefficients!$C$2+Coefficients!$C$4*C121+Coefficients!$C$6*C121^2+Coefficients!$C$8*C121^3+Coefficients!$C$10*C121^4)/(1+Coefficients!$C$3*C121+Coefficients!$C$5*C121^2+Coefficients!$C$7*C121^3+Coefficients!$C$9*C121^4+Coefficients!$C$11*C121^5)&gt;=100,100,(Coefficients!$C$2+Coefficients!$C$4*C121+Coefficients!$C$6*C121^2+Coefficients!$C$8*C121^3+Coefficients!$C$10*C121^4)/(1+Coefficients!$C$3*C121+Coefficients!$C$5*C121^2+Coefficients!$C$7*C121^3+Coefficients!$C$9*C121^4+Coefficients!$C$11*C121^5)))</f>
        <v>100</v>
      </c>
      <c r="E121" s="38">
        <f t="shared" si="29"/>
        <v>0</v>
      </c>
      <c r="F121" s="39">
        <f t="shared" si="26"/>
        <v>0</v>
      </c>
      <c r="G121" s="40">
        <f t="shared" si="30"/>
        <v>100</v>
      </c>
    </row>
    <row r="122" spans="1:7" ht="14.25" x14ac:dyDescent="0.2">
      <c r="A122" s="29">
        <f t="shared" si="27"/>
        <v>46260</v>
      </c>
      <c r="B122" s="35">
        <f t="shared" si="28"/>
        <v>52.829568788501028</v>
      </c>
      <c r="C122" s="36">
        <f t="shared" si="25"/>
        <v>120</v>
      </c>
      <c r="D122" s="37">
        <f>IF(C122&lt;=0,0,IF((Coefficients!$C$2+Coefficients!$C$4*C122+Coefficients!$C$6*C122^2+Coefficients!$C$8*C122^3+Coefficients!$C$10*C122^4)/(1+Coefficients!$C$3*C122+Coefficients!$C$5*C122^2+Coefficients!$C$7*C122^3+Coefficients!$C$9*C122^4+Coefficients!$C$11*C122^5)&gt;=100,100,(Coefficients!$C$2+Coefficients!$C$4*C122+Coefficients!$C$6*C122^2+Coefficients!$C$8*C122^3+Coefficients!$C$10*C122^4)/(1+Coefficients!$C$3*C122+Coefficients!$C$5*C122^2+Coefficients!$C$7*C122^3+Coefficients!$C$9*C122^4+Coefficients!$C$11*C122^5)))</f>
        <v>100</v>
      </c>
      <c r="E122" s="38">
        <f t="shared" si="29"/>
        <v>0</v>
      </c>
      <c r="F122" s="39">
        <f t="shared" si="26"/>
        <v>0</v>
      </c>
      <c r="G122" s="40">
        <f t="shared" si="30"/>
        <v>100</v>
      </c>
    </row>
    <row r="123" spans="1:7" ht="14.25" x14ac:dyDescent="0.2">
      <c r="A123" s="29">
        <f t="shared" si="27"/>
        <v>46260</v>
      </c>
      <c r="B123" s="35">
        <f t="shared" si="28"/>
        <v>52.829568788501028</v>
      </c>
      <c r="C123" s="36">
        <f t="shared" si="25"/>
        <v>120</v>
      </c>
      <c r="D123" s="37">
        <f>IF(C123&lt;=0,0,IF((Coefficients!$C$2+Coefficients!$C$4*C123+Coefficients!$C$6*C123^2+Coefficients!$C$8*C123^3+Coefficients!$C$10*C123^4)/(1+Coefficients!$C$3*C123+Coefficients!$C$5*C123^2+Coefficients!$C$7*C123^3+Coefficients!$C$9*C123^4+Coefficients!$C$11*C123^5)&gt;=100,100,(Coefficients!$C$2+Coefficients!$C$4*C123+Coefficients!$C$6*C123^2+Coefficients!$C$8*C123^3+Coefficients!$C$10*C123^4)/(1+Coefficients!$C$3*C123+Coefficients!$C$5*C123^2+Coefficients!$C$7*C123^3+Coefficients!$C$9*C123^4+Coefficients!$C$11*C123^5)))</f>
        <v>100</v>
      </c>
      <c r="E123" s="38">
        <f t="shared" si="29"/>
        <v>0</v>
      </c>
      <c r="F123" s="39">
        <f t="shared" si="26"/>
        <v>0</v>
      </c>
      <c r="G123" s="40">
        <f t="shared" si="30"/>
        <v>100</v>
      </c>
    </row>
    <row r="124" spans="1:7" ht="14.25" x14ac:dyDescent="0.2">
      <c r="A124" s="29">
        <f t="shared" si="27"/>
        <v>46260</v>
      </c>
      <c r="B124" s="35">
        <f t="shared" si="28"/>
        <v>52.829568788501028</v>
      </c>
      <c r="C124" s="36">
        <f t="shared" si="25"/>
        <v>120</v>
      </c>
      <c r="D124" s="37">
        <f>IF(C124&lt;=0,0,IF((Coefficients!$C$2+Coefficients!$C$4*C124+Coefficients!$C$6*C124^2+Coefficients!$C$8*C124^3+Coefficients!$C$10*C124^4)/(1+Coefficients!$C$3*C124+Coefficients!$C$5*C124^2+Coefficients!$C$7*C124^3+Coefficients!$C$9*C124^4+Coefficients!$C$11*C124^5)&gt;=100,100,(Coefficients!$C$2+Coefficients!$C$4*C124+Coefficients!$C$6*C124^2+Coefficients!$C$8*C124^3+Coefficients!$C$10*C124^4)/(1+Coefficients!$C$3*C124+Coefficients!$C$5*C124^2+Coefficients!$C$7*C124^3+Coefficients!$C$9*C124^4+Coefficients!$C$11*C124^5)))</f>
        <v>100</v>
      </c>
      <c r="E124" s="38">
        <f t="shared" si="29"/>
        <v>0</v>
      </c>
      <c r="F124" s="39">
        <f t="shared" si="26"/>
        <v>0</v>
      </c>
      <c r="G124" s="40">
        <f t="shared" si="30"/>
        <v>100</v>
      </c>
    </row>
    <row r="125" spans="1:7" ht="14.25" x14ac:dyDescent="0.2">
      <c r="A125" s="29">
        <f t="shared" si="27"/>
        <v>46260</v>
      </c>
      <c r="B125" s="35">
        <f t="shared" si="28"/>
        <v>52.829568788501028</v>
      </c>
      <c r="C125" s="36">
        <f t="shared" si="25"/>
        <v>120</v>
      </c>
      <c r="D125" s="37">
        <f>IF(C125&lt;=0,0,IF((Coefficients!$C$2+Coefficients!$C$4*C125+Coefficients!$C$6*C125^2+Coefficients!$C$8*C125^3+Coefficients!$C$10*C125^4)/(1+Coefficients!$C$3*C125+Coefficients!$C$5*C125^2+Coefficients!$C$7*C125^3+Coefficients!$C$9*C125^4+Coefficients!$C$11*C125^5)&gt;=100,100,(Coefficients!$C$2+Coefficients!$C$4*C125+Coefficients!$C$6*C125^2+Coefficients!$C$8*C125^3+Coefficients!$C$10*C125^4)/(1+Coefficients!$C$3*C125+Coefficients!$C$5*C125^2+Coefficients!$C$7*C125^3+Coefficients!$C$9*C125^4+Coefficients!$C$11*C125^5)))</f>
        <v>100</v>
      </c>
      <c r="E125" s="38">
        <f t="shared" si="29"/>
        <v>0</v>
      </c>
      <c r="F125" s="39">
        <f t="shared" si="26"/>
        <v>0</v>
      </c>
      <c r="G125" s="40">
        <f t="shared" si="30"/>
        <v>100</v>
      </c>
    </row>
    <row r="126" spans="1:7" ht="14.25" x14ac:dyDescent="0.2">
      <c r="A126" s="29">
        <f t="shared" si="27"/>
        <v>46260</v>
      </c>
      <c r="B126" s="35">
        <f t="shared" si="28"/>
        <v>52.829568788501028</v>
      </c>
      <c r="C126" s="36">
        <f t="shared" si="25"/>
        <v>120</v>
      </c>
      <c r="D126" s="37">
        <f>IF(C126&lt;=0,0,IF((Coefficients!$C$2+Coefficients!$C$4*C126+Coefficients!$C$6*C126^2+Coefficients!$C$8*C126^3+Coefficients!$C$10*C126^4)/(1+Coefficients!$C$3*C126+Coefficients!$C$5*C126^2+Coefficients!$C$7*C126^3+Coefficients!$C$9*C126^4+Coefficients!$C$11*C126^5)&gt;=100,100,(Coefficients!$C$2+Coefficients!$C$4*C126+Coefficients!$C$6*C126^2+Coefficients!$C$8*C126^3+Coefficients!$C$10*C126^4)/(1+Coefficients!$C$3*C126+Coefficients!$C$5*C126^2+Coefficients!$C$7*C126^3+Coefficients!$C$9*C126^4+Coefficients!$C$11*C126^5)))</f>
        <v>100</v>
      </c>
      <c r="E126" s="38">
        <f t="shared" si="29"/>
        <v>0</v>
      </c>
      <c r="F126" s="39">
        <f t="shared" si="26"/>
        <v>0</v>
      </c>
      <c r="G126" s="40">
        <f t="shared" si="30"/>
        <v>100</v>
      </c>
    </row>
    <row r="127" spans="1:7" ht="14.25" x14ac:dyDescent="0.2">
      <c r="A127" s="29">
        <f t="shared" si="27"/>
        <v>46260</v>
      </c>
      <c r="B127" s="35">
        <f t="shared" si="28"/>
        <v>52.829568788501028</v>
      </c>
      <c r="C127" s="36">
        <f t="shared" si="25"/>
        <v>120</v>
      </c>
      <c r="D127" s="37">
        <f>IF(C127&lt;=0,0,IF((Coefficients!$C$2+Coefficients!$C$4*C127+Coefficients!$C$6*C127^2+Coefficients!$C$8*C127^3+Coefficients!$C$10*C127^4)/(1+Coefficients!$C$3*C127+Coefficients!$C$5*C127^2+Coefficients!$C$7*C127^3+Coefficients!$C$9*C127^4+Coefficients!$C$11*C127^5)&gt;=100,100,(Coefficients!$C$2+Coefficients!$C$4*C127+Coefficients!$C$6*C127^2+Coefficients!$C$8*C127^3+Coefficients!$C$10*C127^4)/(1+Coefficients!$C$3*C127+Coefficients!$C$5*C127^2+Coefficients!$C$7*C127^3+Coefficients!$C$9*C127^4+Coefficients!$C$11*C127^5)))</f>
        <v>100</v>
      </c>
      <c r="E127" s="38">
        <f t="shared" si="29"/>
        <v>0</v>
      </c>
      <c r="F127" s="39">
        <f t="shared" si="26"/>
        <v>0</v>
      </c>
      <c r="G127" s="40">
        <f t="shared" si="30"/>
        <v>100</v>
      </c>
    </row>
    <row r="128" spans="1:7" ht="14.25" x14ac:dyDescent="0.2">
      <c r="A128" s="29">
        <f t="shared" si="27"/>
        <v>46260</v>
      </c>
      <c r="B128" s="35">
        <f t="shared" si="28"/>
        <v>52.829568788501028</v>
      </c>
      <c r="C128" s="36">
        <f t="shared" si="25"/>
        <v>120</v>
      </c>
      <c r="D128" s="37">
        <f>IF(C128&lt;=0,0,IF((Coefficients!$C$2+Coefficients!$C$4*C128+Coefficients!$C$6*C128^2+Coefficients!$C$8*C128^3+Coefficients!$C$10*C128^4)/(1+Coefficients!$C$3*C128+Coefficients!$C$5*C128^2+Coefficients!$C$7*C128^3+Coefficients!$C$9*C128^4+Coefficients!$C$11*C128^5)&gt;=100,100,(Coefficients!$C$2+Coefficients!$C$4*C128+Coefficients!$C$6*C128^2+Coefficients!$C$8*C128^3+Coefficients!$C$10*C128^4)/(1+Coefficients!$C$3*C128+Coefficients!$C$5*C128^2+Coefficients!$C$7*C128^3+Coefficients!$C$9*C128^4+Coefficients!$C$11*C128^5)))</f>
        <v>100</v>
      </c>
      <c r="E128" s="38">
        <f t="shared" si="29"/>
        <v>0</v>
      </c>
      <c r="F128" s="39">
        <f t="shared" si="26"/>
        <v>0</v>
      </c>
      <c r="G128" s="40">
        <f t="shared" si="30"/>
        <v>100</v>
      </c>
    </row>
    <row r="129" spans="1:7" ht="14.25" x14ac:dyDescent="0.2">
      <c r="A129" s="29">
        <f t="shared" si="27"/>
        <v>46260</v>
      </c>
      <c r="B129" s="35">
        <f t="shared" si="28"/>
        <v>52.829568788501028</v>
      </c>
      <c r="C129" s="36">
        <f t="shared" si="25"/>
        <v>120</v>
      </c>
      <c r="D129" s="37">
        <f>IF(C129&lt;=0,0,IF((Coefficients!$C$2+Coefficients!$C$4*C129+Coefficients!$C$6*C129^2+Coefficients!$C$8*C129^3+Coefficients!$C$10*C129^4)/(1+Coefficients!$C$3*C129+Coefficients!$C$5*C129^2+Coefficients!$C$7*C129^3+Coefficients!$C$9*C129^4+Coefficients!$C$11*C129^5)&gt;=100,100,(Coefficients!$C$2+Coefficients!$C$4*C129+Coefficients!$C$6*C129^2+Coefficients!$C$8*C129^3+Coefficients!$C$10*C129^4)/(1+Coefficients!$C$3*C129+Coefficients!$C$5*C129^2+Coefficients!$C$7*C129^3+Coefficients!$C$9*C129^4+Coefficients!$C$11*C129^5)))</f>
        <v>100</v>
      </c>
      <c r="E129" s="38">
        <f t="shared" si="29"/>
        <v>0</v>
      </c>
      <c r="F129" s="39">
        <f t="shared" si="26"/>
        <v>0</v>
      </c>
      <c r="G129" s="40">
        <f t="shared" si="30"/>
        <v>100</v>
      </c>
    </row>
    <row r="130" spans="1:7" ht="14.25" x14ac:dyDescent="0.2">
      <c r="A130" s="29">
        <f t="shared" si="27"/>
        <v>46260</v>
      </c>
      <c r="B130" s="35">
        <f t="shared" si="28"/>
        <v>52.829568788501028</v>
      </c>
      <c r="C130" s="36">
        <f t="shared" si="25"/>
        <v>120</v>
      </c>
      <c r="D130" s="37">
        <f>IF(C130&lt;=0,0,IF((Coefficients!$C$2+Coefficients!$C$4*C130+Coefficients!$C$6*C130^2+Coefficients!$C$8*C130^3+Coefficients!$C$10*C130^4)/(1+Coefficients!$C$3*C130+Coefficients!$C$5*C130^2+Coefficients!$C$7*C130^3+Coefficients!$C$9*C130^4+Coefficients!$C$11*C130^5)&gt;=100,100,(Coefficients!$C$2+Coefficients!$C$4*C130+Coefficients!$C$6*C130^2+Coefficients!$C$8*C130^3+Coefficients!$C$10*C130^4)/(1+Coefficients!$C$3*C130+Coefficients!$C$5*C130^2+Coefficients!$C$7*C130^3+Coefficients!$C$9*C130^4+Coefficients!$C$11*C130^5)))</f>
        <v>100</v>
      </c>
      <c r="E130" s="38">
        <f t="shared" si="29"/>
        <v>0</v>
      </c>
      <c r="F130" s="39">
        <f t="shared" si="26"/>
        <v>0</v>
      </c>
      <c r="G130" s="40">
        <f t="shared" si="30"/>
        <v>100</v>
      </c>
    </row>
    <row r="131" spans="1:7" ht="14.25" x14ac:dyDescent="0.2">
      <c r="A131" s="29">
        <f t="shared" si="27"/>
        <v>46260</v>
      </c>
      <c r="B131" s="35">
        <f t="shared" si="28"/>
        <v>52.829568788501028</v>
      </c>
      <c r="C131" s="36">
        <f t="shared" si="25"/>
        <v>120</v>
      </c>
      <c r="D131" s="37">
        <f>IF(C131&lt;=0,0,IF((Coefficients!$C$2+Coefficients!$C$4*C131+Coefficients!$C$6*C131^2+Coefficients!$C$8*C131^3+Coefficients!$C$10*C131^4)/(1+Coefficients!$C$3*C131+Coefficients!$C$5*C131^2+Coefficients!$C$7*C131^3+Coefficients!$C$9*C131^4+Coefficients!$C$11*C131^5)&gt;=100,100,(Coefficients!$C$2+Coefficients!$C$4*C131+Coefficients!$C$6*C131^2+Coefficients!$C$8*C131^3+Coefficients!$C$10*C131^4)/(1+Coefficients!$C$3*C131+Coefficients!$C$5*C131^2+Coefficients!$C$7*C131^3+Coefficients!$C$9*C131^4+Coefficients!$C$11*C131^5)))</f>
        <v>100</v>
      </c>
      <c r="E131" s="38">
        <f t="shared" si="29"/>
        <v>0</v>
      </c>
      <c r="F131" s="39">
        <f t="shared" si="26"/>
        <v>0</v>
      </c>
      <c r="G131" s="40">
        <f t="shared" si="30"/>
        <v>100</v>
      </c>
    </row>
    <row r="132" spans="1:7" ht="14.25" x14ac:dyDescent="0.2">
      <c r="A132" s="29">
        <f t="shared" si="27"/>
        <v>46260</v>
      </c>
      <c r="B132" s="35">
        <f t="shared" si="28"/>
        <v>52.829568788501028</v>
      </c>
      <c r="C132" s="36">
        <f t="shared" si="25"/>
        <v>120</v>
      </c>
      <c r="D132" s="37">
        <f>IF(C132&lt;=0,0,IF((Coefficients!$C$2+Coefficients!$C$4*C132+Coefficients!$C$6*C132^2+Coefficients!$C$8*C132^3+Coefficients!$C$10*C132^4)/(1+Coefficients!$C$3*C132+Coefficients!$C$5*C132^2+Coefficients!$C$7*C132^3+Coefficients!$C$9*C132^4+Coefficients!$C$11*C132^5)&gt;=100,100,(Coefficients!$C$2+Coefficients!$C$4*C132+Coefficients!$C$6*C132^2+Coefficients!$C$8*C132^3+Coefficients!$C$10*C132^4)/(1+Coefficients!$C$3*C132+Coefficients!$C$5*C132^2+Coefficients!$C$7*C132^3+Coefficients!$C$9*C132^4+Coefficients!$C$11*C132^5)))</f>
        <v>100</v>
      </c>
      <c r="E132" s="38">
        <f t="shared" si="29"/>
        <v>0</v>
      </c>
      <c r="F132" s="39">
        <f t="shared" si="26"/>
        <v>0</v>
      </c>
      <c r="G132" s="40">
        <f t="shared" si="30"/>
        <v>100</v>
      </c>
    </row>
    <row r="133" spans="1:7" ht="14.25" x14ac:dyDescent="0.2">
      <c r="A133" s="29">
        <f t="shared" si="27"/>
        <v>46260</v>
      </c>
      <c r="B133" s="35">
        <f t="shared" si="28"/>
        <v>52.829568788501028</v>
      </c>
      <c r="C133" s="36">
        <f t="shared" si="25"/>
        <v>120</v>
      </c>
      <c r="D133" s="37">
        <f>IF(C133&lt;=0,0,IF((Coefficients!$C$2+Coefficients!$C$4*C133+Coefficients!$C$6*C133^2+Coefficients!$C$8*C133^3+Coefficients!$C$10*C133^4)/(1+Coefficients!$C$3*C133+Coefficients!$C$5*C133^2+Coefficients!$C$7*C133^3+Coefficients!$C$9*C133^4+Coefficients!$C$11*C133^5)&gt;=100,100,(Coefficients!$C$2+Coefficients!$C$4*C133+Coefficients!$C$6*C133^2+Coefficients!$C$8*C133^3+Coefficients!$C$10*C133^4)/(1+Coefficients!$C$3*C133+Coefficients!$C$5*C133^2+Coefficients!$C$7*C133^3+Coefficients!$C$9*C133^4+Coefficients!$C$11*C133^5)))</f>
        <v>100</v>
      </c>
      <c r="E133" s="38">
        <f t="shared" si="29"/>
        <v>0</v>
      </c>
      <c r="F133" s="39">
        <f t="shared" si="26"/>
        <v>0</v>
      </c>
      <c r="G133" s="40">
        <f t="shared" si="30"/>
        <v>100</v>
      </c>
    </row>
    <row r="134" spans="1:7" ht="14.25" x14ac:dyDescent="0.2">
      <c r="A134" s="29">
        <f t="shared" si="27"/>
        <v>46260</v>
      </c>
      <c r="B134" s="35">
        <f t="shared" si="28"/>
        <v>52.829568788501028</v>
      </c>
      <c r="C134" s="36">
        <f t="shared" si="25"/>
        <v>120</v>
      </c>
      <c r="D134" s="37">
        <f>IF(C134&lt;=0,0,IF((Coefficients!$C$2+Coefficients!$C$4*C134+Coefficients!$C$6*C134^2+Coefficients!$C$8*C134^3+Coefficients!$C$10*C134^4)/(1+Coefficients!$C$3*C134+Coefficients!$C$5*C134^2+Coefficients!$C$7*C134^3+Coefficients!$C$9*C134^4+Coefficients!$C$11*C134^5)&gt;=100,100,(Coefficients!$C$2+Coefficients!$C$4*C134+Coefficients!$C$6*C134^2+Coefficients!$C$8*C134^3+Coefficients!$C$10*C134^4)/(1+Coefficients!$C$3*C134+Coefficients!$C$5*C134^2+Coefficients!$C$7*C134^3+Coefficients!$C$9*C134^4+Coefficients!$C$11*C134^5)))</f>
        <v>100</v>
      </c>
      <c r="E134" s="38">
        <f t="shared" si="29"/>
        <v>0</v>
      </c>
      <c r="F134" s="39">
        <f t="shared" si="26"/>
        <v>0</v>
      </c>
      <c r="G134" s="40">
        <f t="shared" si="30"/>
        <v>100</v>
      </c>
    </row>
    <row r="135" spans="1:7" ht="14.25" x14ac:dyDescent="0.2">
      <c r="A135" s="29">
        <f t="shared" si="27"/>
        <v>46260</v>
      </c>
      <c r="B135" s="35">
        <f t="shared" si="28"/>
        <v>52.829568788501028</v>
      </c>
      <c r="C135" s="36">
        <f t="shared" si="25"/>
        <v>120</v>
      </c>
      <c r="D135" s="37">
        <f>IF(C135&lt;=0,0,IF((Coefficients!$C$2+Coefficients!$C$4*C135+Coefficients!$C$6*C135^2+Coefficients!$C$8*C135^3+Coefficients!$C$10*C135^4)/(1+Coefficients!$C$3*C135+Coefficients!$C$5*C135^2+Coefficients!$C$7*C135^3+Coefficients!$C$9*C135^4+Coefficients!$C$11*C135^5)&gt;=100,100,(Coefficients!$C$2+Coefficients!$C$4*C135+Coefficients!$C$6*C135^2+Coefficients!$C$8*C135^3+Coefficients!$C$10*C135^4)/(1+Coefficients!$C$3*C135+Coefficients!$C$5*C135^2+Coefficients!$C$7*C135^3+Coefficients!$C$9*C135^4+Coefficients!$C$11*C135^5)))</f>
        <v>100</v>
      </c>
      <c r="E135" s="38">
        <f t="shared" si="29"/>
        <v>0</v>
      </c>
      <c r="F135" s="39">
        <f t="shared" si="26"/>
        <v>0</v>
      </c>
      <c r="G135" s="40">
        <f t="shared" si="30"/>
        <v>100</v>
      </c>
    </row>
    <row r="136" spans="1:7" ht="14.25" x14ac:dyDescent="0.2">
      <c r="A136" s="29">
        <f t="shared" si="27"/>
        <v>46260</v>
      </c>
      <c r="B136" s="35">
        <f t="shared" si="28"/>
        <v>52.829568788501028</v>
      </c>
      <c r="C136" s="36">
        <f t="shared" si="25"/>
        <v>120</v>
      </c>
      <c r="D136" s="37">
        <f>IF(C136&lt;=0,0,IF((Coefficients!$C$2+Coefficients!$C$4*C136+Coefficients!$C$6*C136^2+Coefficients!$C$8*C136^3+Coefficients!$C$10*C136^4)/(1+Coefficients!$C$3*C136+Coefficients!$C$5*C136^2+Coefficients!$C$7*C136^3+Coefficients!$C$9*C136^4+Coefficients!$C$11*C136^5)&gt;=100,100,(Coefficients!$C$2+Coefficients!$C$4*C136+Coefficients!$C$6*C136^2+Coefficients!$C$8*C136^3+Coefficients!$C$10*C136^4)/(1+Coefficients!$C$3*C136+Coefficients!$C$5*C136^2+Coefficients!$C$7*C136^3+Coefficients!$C$9*C136^4+Coefficients!$C$11*C136^5)))</f>
        <v>100</v>
      </c>
      <c r="E136" s="38">
        <f t="shared" si="29"/>
        <v>0</v>
      </c>
      <c r="F136" s="39">
        <f t="shared" si="26"/>
        <v>0</v>
      </c>
      <c r="G136" s="40">
        <f t="shared" si="30"/>
        <v>100</v>
      </c>
    </row>
    <row r="137" spans="1:7" ht="14.25" x14ac:dyDescent="0.2">
      <c r="A137" s="29">
        <f t="shared" si="27"/>
        <v>46260</v>
      </c>
      <c r="B137" s="35">
        <f t="shared" si="28"/>
        <v>52.829568788501028</v>
      </c>
      <c r="C137" s="36">
        <f t="shared" si="25"/>
        <v>120</v>
      </c>
      <c r="D137" s="37">
        <f>IF(C137&lt;=0,0,IF((Coefficients!$C$2+Coefficients!$C$4*C137+Coefficients!$C$6*C137^2+Coefficients!$C$8*C137^3+Coefficients!$C$10*C137^4)/(1+Coefficients!$C$3*C137+Coefficients!$C$5*C137^2+Coefficients!$C$7*C137^3+Coefficients!$C$9*C137^4+Coefficients!$C$11*C137^5)&gt;=100,100,(Coefficients!$C$2+Coefficients!$C$4*C137+Coefficients!$C$6*C137^2+Coefficients!$C$8*C137^3+Coefficients!$C$10*C137^4)/(1+Coefficients!$C$3*C137+Coefficients!$C$5*C137^2+Coefficients!$C$7*C137^3+Coefficients!$C$9*C137^4+Coefficients!$C$11*C137^5)))</f>
        <v>100</v>
      </c>
      <c r="E137" s="38">
        <f t="shared" si="29"/>
        <v>0</v>
      </c>
      <c r="F137" s="39">
        <f t="shared" si="26"/>
        <v>0</v>
      </c>
      <c r="G137" s="40">
        <f t="shared" si="30"/>
        <v>100</v>
      </c>
    </row>
    <row r="138" spans="1:7" ht="14.25" x14ac:dyDescent="0.2">
      <c r="A138" s="29">
        <f t="shared" si="27"/>
        <v>46260</v>
      </c>
      <c r="B138" s="35">
        <f t="shared" si="28"/>
        <v>52.829568788501028</v>
      </c>
      <c r="C138" s="36">
        <f t="shared" si="25"/>
        <v>120</v>
      </c>
      <c r="D138" s="37">
        <f>IF(C138&lt;=0,0,IF((Coefficients!$C$2+Coefficients!$C$4*C138+Coefficients!$C$6*C138^2+Coefficients!$C$8*C138^3+Coefficients!$C$10*C138^4)/(1+Coefficients!$C$3*C138+Coefficients!$C$5*C138^2+Coefficients!$C$7*C138^3+Coefficients!$C$9*C138^4+Coefficients!$C$11*C138^5)&gt;=100,100,(Coefficients!$C$2+Coefficients!$C$4*C138+Coefficients!$C$6*C138^2+Coefficients!$C$8*C138^3+Coefficients!$C$10*C138^4)/(1+Coefficients!$C$3*C138+Coefficients!$C$5*C138^2+Coefficients!$C$7*C138^3+Coefficients!$C$9*C138^4+Coefficients!$C$11*C138^5)))</f>
        <v>100</v>
      </c>
      <c r="E138" s="38">
        <f t="shared" si="29"/>
        <v>0</v>
      </c>
      <c r="F138" s="39">
        <f t="shared" si="26"/>
        <v>0</v>
      </c>
      <c r="G138" s="40">
        <f t="shared" si="30"/>
        <v>100</v>
      </c>
    </row>
    <row r="139" spans="1:7" ht="14.25" x14ac:dyDescent="0.2">
      <c r="A139" s="29">
        <f t="shared" si="27"/>
        <v>46260</v>
      </c>
      <c r="B139" s="35">
        <f t="shared" si="28"/>
        <v>52.829568788501028</v>
      </c>
      <c r="C139" s="36">
        <f t="shared" si="25"/>
        <v>120</v>
      </c>
      <c r="D139" s="37">
        <f>IF(C139&lt;=0,0,IF((Coefficients!$C$2+Coefficients!$C$4*C139+Coefficients!$C$6*C139^2+Coefficients!$C$8*C139^3+Coefficients!$C$10*C139^4)/(1+Coefficients!$C$3*C139+Coefficients!$C$5*C139^2+Coefficients!$C$7*C139^3+Coefficients!$C$9*C139^4+Coefficients!$C$11*C139^5)&gt;=100,100,(Coefficients!$C$2+Coefficients!$C$4*C139+Coefficients!$C$6*C139^2+Coefficients!$C$8*C139^3+Coefficients!$C$10*C139^4)/(1+Coefficients!$C$3*C139+Coefficients!$C$5*C139^2+Coefficients!$C$7*C139^3+Coefficients!$C$9*C139^4+Coefficients!$C$11*C139^5)))</f>
        <v>100</v>
      </c>
      <c r="E139" s="38">
        <f t="shared" si="29"/>
        <v>0</v>
      </c>
      <c r="F139" s="39">
        <f t="shared" si="26"/>
        <v>0</v>
      </c>
      <c r="G139" s="40">
        <f t="shared" si="30"/>
        <v>100</v>
      </c>
    </row>
    <row r="140" spans="1:7" ht="14.25" x14ac:dyDescent="0.2">
      <c r="A140" s="29">
        <f t="shared" si="27"/>
        <v>46260</v>
      </c>
      <c r="B140" s="35">
        <f t="shared" si="28"/>
        <v>52.829568788501028</v>
      </c>
      <c r="C140" s="36">
        <f t="shared" si="25"/>
        <v>120</v>
      </c>
      <c r="D140" s="37">
        <f>IF(C140&lt;=0,0,IF((Coefficients!$C$2+Coefficients!$C$4*C140+Coefficients!$C$6*C140^2+Coefficients!$C$8*C140^3+Coefficients!$C$10*C140^4)/(1+Coefficients!$C$3*C140+Coefficients!$C$5*C140^2+Coefficients!$C$7*C140^3+Coefficients!$C$9*C140^4+Coefficients!$C$11*C140^5)&gt;=100,100,(Coefficients!$C$2+Coefficients!$C$4*C140+Coefficients!$C$6*C140^2+Coefficients!$C$8*C140^3+Coefficients!$C$10*C140^4)/(1+Coefficients!$C$3*C140+Coefficients!$C$5*C140^2+Coefficients!$C$7*C140^3+Coefficients!$C$9*C140^4+Coefficients!$C$11*C140^5)))</f>
        <v>100</v>
      </c>
      <c r="E140" s="38">
        <f t="shared" si="29"/>
        <v>0</v>
      </c>
      <c r="F140" s="39">
        <f t="shared" si="26"/>
        <v>0</v>
      </c>
      <c r="G140" s="40">
        <f t="shared" si="30"/>
        <v>100</v>
      </c>
    </row>
    <row r="141" spans="1:7" ht="14.25" x14ac:dyDescent="0.2">
      <c r="A141" s="29">
        <f t="shared" si="27"/>
        <v>46260</v>
      </c>
      <c r="B141" s="35">
        <f t="shared" si="28"/>
        <v>52.829568788501028</v>
      </c>
      <c r="C141" s="36">
        <f t="shared" si="25"/>
        <v>120</v>
      </c>
      <c r="D141" s="37">
        <f>IF(C141&lt;=0,0,IF((Coefficients!$C$2+Coefficients!$C$4*C141+Coefficients!$C$6*C141^2+Coefficients!$C$8*C141^3+Coefficients!$C$10*C141^4)/(1+Coefficients!$C$3*C141+Coefficients!$C$5*C141^2+Coefficients!$C$7*C141^3+Coefficients!$C$9*C141^4+Coefficients!$C$11*C141^5)&gt;=100,100,(Coefficients!$C$2+Coefficients!$C$4*C141+Coefficients!$C$6*C141^2+Coefficients!$C$8*C141^3+Coefficients!$C$10*C141^4)/(1+Coefficients!$C$3*C141+Coefficients!$C$5*C141^2+Coefficients!$C$7*C141^3+Coefficients!$C$9*C141^4+Coefficients!$C$11*C141^5)))</f>
        <v>100</v>
      </c>
      <c r="E141" s="38">
        <f t="shared" si="29"/>
        <v>0</v>
      </c>
      <c r="F141" s="39">
        <f t="shared" si="26"/>
        <v>0</v>
      </c>
      <c r="G141" s="40">
        <f t="shared" si="30"/>
        <v>100</v>
      </c>
    </row>
    <row r="142" spans="1:7" ht="14.25" x14ac:dyDescent="0.2">
      <c r="A142" s="29">
        <f t="shared" si="27"/>
        <v>46260</v>
      </c>
      <c r="B142" s="35">
        <f t="shared" si="28"/>
        <v>52.829568788501028</v>
      </c>
      <c r="C142" s="36">
        <f t="shared" si="25"/>
        <v>120</v>
      </c>
      <c r="D142" s="37">
        <f>IF(C142&lt;=0,0,IF((Coefficients!$C$2+Coefficients!$C$4*C142+Coefficients!$C$6*C142^2+Coefficients!$C$8*C142^3+Coefficients!$C$10*C142^4)/(1+Coefficients!$C$3*C142+Coefficients!$C$5*C142^2+Coefficients!$C$7*C142^3+Coefficients!$C$9*C142^4+Coefficients!$C$11*C142^5)&gt;=100,100,(Coefficients!$C$2+Coefficients!$C$4*C142+Coefficients!$C$6*C142^2+Coefficients!$C$8*C142^3+Coefficients!$C$10*C142^4)/(1+Coefficients!$C$3*C142+Coefficients!$C$5*C142^2+Coefficients!$C$7*C142^3+Coefficients!$C$9*C142^4+Coefficients!$C$11*C142^5)))</f>
        <v>100</v>
      </c>
      <c r="E142" s="38">
        <f t="shared" si="29"/>
        <v>0</v>
      </c>
      <c r="F142" s="39">
        <f t="shared" si="26"/>
        <v>0</v>
      </c>
      <c r="G142" s="40">
        <f t="shared" si="30"/>
        <v>100</v>
      </c>
    </row>
    <row r="143" spans="1:7" ht="14.25" x14ac:dyDescent="0.2">
      <c r="A143" s="29">
        <f t="shared" si="27"/>
        <v>46260</v>
      </c>
      <c r="B143" s="35">
        <f t="shared" si="28"/>
        <v>52.829568788501028</v>
      </c>
      <c r="C143" s="36">
        <f t="shared" si="25"/>
        <v>120</v>
      </c>
      <c r="D143" s="37">
        <f>IF(C143&lt;=0,0,IF((Coefficients!$C$2+Coefficients!$C$4*C143+Coefficients!$C$6*C143^2+Coefficients!$C$8*C143^3+Coefficients!$C$10*C143^4)/(1+Coefficients!$C$3*C143+Coefficients!$C$5*C143^2+Coefficients!$C$7*C143^3+Coefficients!$C$9*C143^4+Coefficients!$C$11*C143^5)&gt;=100,100,(Coefficients!$C$2+Coefficients!$C$4*C143+Coefficients!$C$6*C143^2+Coefficients!$C$8*C143^3+Coefficients!$C$10*C143^4)/(1+Coefficients!$C$3*C143+Coefficients!$C$5*C143^2+Coefficients!$C$7*C143^3+Coefficients!$C$9*C143^4+Coefficients!$C$11*C143^5)))</f>
        <v>100</v>
      </c>
      <c r="E143" s="38">
        <f t="shared" si="29"/>
        <v>0</v>
      </c>
      <c r="F143" s="39">
        <f t="shared" si="26"/>
        <v>0</v>
      </c>
      <c r="G143" s="40">
        <f t="shared" si="30"/>
        <v>100</v>
      </c>
    </row>
    <row r="144" spans="1:7" ht="14.25" x14ac:dyDescent="0.2">
      <c r="A144" s="29">
        <f t="shared" si="27"/>
        <v>46260</v>
      </c>
      <c r="B144" s="35">
        <f t="shared" si="28"/>
        <v>52.829568788501028</v>
      </c>
      <c r="C144" s="36">
        <f t="shared" si="25"/>
        <v>120</v>
      </c>
      <c r="D144" s="37">
        <f>IF(C144&lt;=0,0,IF((Coefficients!$C$2+Coefficients!$C$4*C144+Coefficients!$C$6*C144^2+Coefficients!$C$8*C144^3+Coefficients!$C$10*C144^4)/(1+Coefficients!$C$3*C144+Coefficients!$C$5*C144^2+Coefficients!$C$7*C144^3+Coefficients!$C$9*C144^4+Coefficients!$C$11*C144^5)&gt;=100,100,(Coefficients!$C$2+Coefficients!$C$4*C144+Coefficients!$C$6*C144^2+Coefficients!$C$8*C144^3+Coefficients!$C$10*C144^4)/(1+Coefficients!$C$3*C144+Coefficients!$C$5*C144^2+Coefficients!$C$7*C144^3+Coefficients!$C$9*C144^4+Coefficients!$C$11*C144^5)))</f>
        <v>100</v>
      </c>
      <c r="E144" s="38">
        <f t="shared" si="29"/>
        <v>0</v>
      </c>
      <c r="F144" s="39">
        <f t="shared" si="26"/>
        <v>0</v>
      </c>
      <c r="G144" s="75">
        <f t="shared" si="30"/>
        <v>100</v>
      </c>
    </row>
    <row r="145" spans="1:7" ht="14.25" x14ac:dyDescent="0.2">
      <c r="A145" s="29">
        <f t="shared" si="27"/>
        <v>46260</v>
      </c>
      <c r="B145" s="35">
        <f t="shared" si="28"/>
        <v>52.829568788501028</v>
      </c>
      <c r="C145" s="36">
        <f t="shared" si="25"/>
        <v>120</v>
      </c>
      <c r="D145" s="37">
        <f>IF(C145&lt;=0,0,IF((Coefficients!$C$2+Coefficients!$C$4*C145+Coefficients!$C$6*C145^2+Coefficients!$C$8*C145^3+Coefficients!$C$10*C145^4)/(1+Coefficients!$C$3*C145+Coefficients!$C$5*C145^2+Coefficients!$C$7*C145^3+Coefficients!$C$9*C145^4+Coefficients!$C$11*C145^5)&gt;=100,100,(Coefficients!$C$2+Coefficients!$C$4*C145+Coefficients!$C$6*C145^2+Coefficients!$C$8*C145^3+Coefficients!$C$10*C145^4)/(1+Coefficients!$C$3*C145+Coefficients!$C$5*C145^2+Coefficients!$C$7*C145^3+Coefficients!$C$9*C145^4+Coefficients!$C$11*C145^5)))</f>
        <v>100</v>
      </c>
      <c r="E145" s="38">
        <f t="shared" si="29"/>
        <v>0</v>
      </c>
      <c r="F145" s="39">
        <f t="shared" si="26"/>
        <v>0</v>
      </c>
      <c r="G145" s="75">
        <f t="shared" si="30"/>
        <v>100</v>
      </c>
    </row>
    <row r="146" spans="1:7" ht="14.25" x14ac:dyDescent="0.2">
      <c r="A146" s="29">
        <f t="shared" ref="A146:A201" si="31">A145+((B146-B145)*365.25/12)</f>
        <v>46260</v>
      </c>
      <c r="B146" s="35">
        <f t="shared" si="28"/>
        <v>52.829568788501028</v>
      </c>
      <c r="C146" s="36">
        <f t="shared" ref="C146:C201" si="32">+B146/$C$5*100</f>
        <v>120</v>
      </c>
      <c r="D146" s="37">
        <f>IF(C146&lt;=0,0,IF((Coefficients!$C$2+Coefficients!$C$4*C146+Coefficients!$C$6*C146^2+Coefficients!$C$8*C146^3+Coefficients!$C$10*C146^4)/(1+Coefficients!$C$3*C146+Coefficients!$C$5*C146^2+Coefficients!$C$7*C146^3+Coefficients!$C$9*C146^4+Coefficients!$C$11*C146^5)&gt;=100,100,(Coefficients!$C$2+Coefficients!$C$4*C146+Coefficients!$C$6*C146^2+Coefficients!$C$8*C146^3+Coefficients!$C$10*C146^4)/(1+Coefficients!$C$3*C146+Coefficients!$C$5*C146^2+Coefficients!$C$7*C146^3+Coefficients!$C$9*C146^4+Coefficients!$C$11*C146^5)))</f>
        <v>100</v>
      </c>
      <c r="E146" s="38">
        <f t="shared" ref="E146:E201" si="33">+D146-D145</f>
        <v>0</v>
      </c>
      <c r="F146" s="39">
        <f t="shared" ref="F146:F201" si="34">$C$6*(E146/100)</f>
        <v>0</v>
      </c>
      <c r="G146" s="75">
        <f t="shared" ref="G146:G201" si="35">IF(D145=100,G145,G145+F146)</f>
        <v>100</v>
      </c>
    </row>
    <row r="147" spans="1:7" ht="14.25" x14ac:dyDescent="0.2">
      <c r="A147" s="29">
        <f t="shared" si="31"/>
        <v>46260</v>
      </c>
      <c r="B147" s="35">
        <f t="shared" si="28"/>
        <v>52.829568788501028</v>
      </c>
      <c r="C147" s="36">
        <f t="shared" si="32"/>
        <v>120</v>
      </c>
      <c r="D147" s="37">
        <f>IF(C147&lt;=0,0,IF((Coefficients!$C$2+Coefficients!$C$4*C147+Coefficients!$C$6*C147^2+Coefficients!$C$8*C147^3+Coefficients!$C$10*C147^4)/(1+Coefficients!$C$3*C147+Coefficients!$C$5*C147^2+Coefficients!$C$7*C147^3+Coefficients!$C$9*C147^4+Coefficients!$C$11*C147^5)&gt;=100,100,(Coefficients!$C$2+Coefficients!$C$4*C147+Coefficients!$C$6*C147^2+Coefficients!$C$8*C147^3+Coefficients!$C$10*C147^4)/(1+Coefficients!$C$3*C147+Coefficients!$C$5*C147^2+Coefficients!$C$7*C147^3+Coefficients!$C$9*C147^4+Coefficients!$C$11*C147^5)))</f>
        <v>100</v>
      </c>
      <c r="E147" s="38">
        <f t="shared" si="33"/>
        <v>0</v>
      </c>
      <c r="F147" s="39">
        <f t="shared" si="34"/>
        <v>0</v>
      </c>
      <c r="G147" s="75">
        <f t="shared" si="35"/>
        <v>100</v>
      </c>
    </row>
    <row r="148" spans="1:7" ht="14.25" x14ac:dyDescent="0.2">
      <c r="A148" s="29">
        <f t="shared" si="31"/>
        <v>46260</v>
      </c>
      <c r="B148" s="35">
        <f t="shared" si="28"/>
        <v>52.829568788501028</v>
      </c>
      <c r="C148" s="36">
        <f t="shared" si="32"/>
        <v>120</v>
      </c>
      <c r="D148" s="37">
        <f>IF(C148&lt;=0,0,IF((Coefficients!$C$2+Coefficients!$C$4*C148+Coefficients!$C$6*C148^2+Coefficients!$C$8*C148^3+Coefficients!$C$10*C148^4)/(1+Coefficients!$C$3*C148+Coefficients!$C$5*C148^2+Coefficients!$C$7*C148^3+Coefficients!$C$9*C148^4+Coefficients!$C$11*C148^5)&gt;=100,100,(Coefficients!$C$2+Coefficients!$C$4*C148+Coefficients!$C$6*C148^2+Coefficients!$C$8*C148^3+Coefficients!$C$10*C148^4)/(1+Coefficients!$C$3*C148+Coefficients!$C$5*C148^2+Coefficients!$C$7*C148^3+Coefficients!$C$9*C148^4+Coefficients!$C$11*C148^5)))</f>
        <v>100</v>
      </c>
      <c r="E148" s="38">
        <f t="shared" si="33"/>
        <v>0</v>
      </c>
      <c r="F148" s="39">
        <f t="shared" si="34"/>
        <v>0</v>
      </c>
      <c r="G148" s="75">
        <f t="shared" si="35"/>
        <v>100</v>
      </c>
    </row>
    <row r="149" spans="1:7" ht="14.25" x14ac:dyDescent="0.2">
      <c r="A149" s="29">
        <f t="shared" si="31"/>
        <v>46260</v>
      </c>
      <c r="B149" s="35">
        <f t="shared" si="28"/>
        <v>52.829568788501028</v>
      </c>
      <c r="C149" s="36">
        <f t="shared" si="32"/>
        <v>120</v>
      </c>
      <c r="D149" s="37">
        <f>IF(C149&lt;=0,0,IF((Coefficients!$C$2+Coefficients!$C$4*C149+Coefficients!$C$6*C149^2+Coefficients!$C$8*C149^3+Coefficients!$C$10*C149^4)/(1+Coefficients!$C$3*C149+Coefficients!$C$5*C149^2+Coefficients!$C$7*C149^3+Coefficients!$C$9*C149^4+Coefficients!$C$11*C149^5)&gt;=100,100,(Coefficients!$C$2+Coefficients!$C$4*C149+Coefficients!$C$6*C149^2+Coefficients!$C$8*C149^3+Coefficients!$C$10*C149^4)/(1+Coefficients!$C$3*C149+Coefficients!$C$5*C149^2+Coefficients!$C$7*C149^3+Coefficients!$C$9*C149^4+Coefficients!$C$11*C149^5)))</f>
        <v>100</v>
      </c>
      <c r="E149" s="38">
        <f t="shared" si="33"/>
        <v>0</v>
      </c>
      <c r="F149" s="39">
        <f t="shared" si="34"/>
        <v>0</v>
      </c>
      <c r="G149" s="75">
        <f t="shared" si="35"/>
        <v>100</v>
      </c>
    </row>
    <row r="150" spans="1:7" ht="14.25" x14ac:dyDescent="0.2">
      <c r="A150" s="29">
        <f t="shared" si="31"/>
        <v>46260</v>
      </c>
      <c r="B150" s="35">
        <f t="shared" si="28"/>
        <v>52.829568788501028</v>
      </c>
      <c r="C150" s="36">
        <f t="shared" si="32"/>
        <v>120</v>
      </c>
      <c r="D150" s="37">
        <f>IF(C150&lt;=0,0,IF((Coefficients!$C$2+Coefficients!$C$4*C150+Coefficients!$C$6*C150^2+Coefficients!$C$8*C150^3+Coefficients!$C$10*C150^4)/(1+Coefficients!$C$3*C150+Coefficients!$C$5*C150^2+Coefficients!$C$7*C150^3+Coefficients!$C$9*C150^4+Coefficients!$C$11*C150^5)&gt;=100,100,(Coefficients!$C$2+Coefficients!$C$4*C150+Coefficients!$C$6*C150^2+Coefficients!$C$8*C150^3+Coefficients!$C$10*C150^4)/(1+Coefficients!$C$3*C150+Coefficients!$C$5*C150^2+Coefficients!$C$7*C150^3+Coefficients!$C$9*C150^4+Coefficients!$C$11*C150^5)))</f>
        <v>100</v>
      </c>
      <c r="E150" s="38">
        <f t="shared" si="33"/>
        <v>0</v>
      </c>
      <c r="F150" s="39">
        <f t="shared" si="34"/>
        <v>0</v>
      </c>
      <c r="G150" s="75">
        <f t="shared" si="35"/>
        <v>100</v>
      </c>
    </row>
    <row r="151" spans="1:7" ht="14.25" x14ac:dyDescent="0.2">
      <c r="A151" s="29">
        <f t="shared" si="31"/>
        <v>46260</v>
      </c>
      <c r="B151" s="35">
        <f t="shared" si="28"/>
        <v>52.829568788501028</v>
      </c>
      <c r="C151" s="36">
        <f t="shared" si="32"/>
        <v>120</v>
      </c>
      <c r="D151" s="37">
        <f>IF(C151&lt;=0,0,IF((Coefficients!$C$2+Coefficients!$C$4*C151+Coefficients!$C$6*C151^2+Coefficients!$C$8*C151^3+Coefficients!$C$10*C151^4)/(1+Coefficients!$C$3*C151+Coefficients!$C$5*C151^2+Coefficients!$C$7*C151^3+Coefficients!$C$9*C151^4+Coefficients!$C$11*C151^5)&gt;=100,100,(Coefficients!$C$2+Coefficients!$C$4*C151+Coefficients!$C$6*C151^2+Coefficients!$C$8*C151^3+Coefficients!$C$10*C151^4)/(1+Coefficients!$C$3*C151+Coefficients!$C$5*C151^2+Coefficients!$C$7*C151^3+Coefficients!$C$9*C151^4+Coefficients!$C$11*C151^5)))</f>
        <v>100</v>
      </c>
      <c r="E151" s="38">
        <f t="shared" si="33"/>
        <v>0</v>
      </c>
      <c r="F151" s="39">
        <f t="shared" si="34"/>
        <v>0</v>
      </c>
      <c r="G151" s="75">
        <f t="shared" si="35"/>
        <v>100</v>
      </c>
    </row>
    <row r="152" spans="1:7" ht="14.25" x14ac:dyDescent="0.2">
      <c r="A152" s="29">
        <f t="shared" si="31"/>
        <v>46260</v>
      </c>
      <c r="B152" s="35">
        <f t="shared" si="28"/>
        <v>52.829568788501028</v>
      </c>
      <c r="C152" s="36">
        <f t="shared" si="32"/>
        <v>120</v>
      </c>
      <c r="D152" s="37">
        <f>IF(C152&lt;=0,0,IF((Coefficients!$C$2+Coefficients!$C$4*C152+Coefficients!$C$6*C152^2+Coefficients!$C$8*C152^3+Coefficients!$C$10*C152^4)/(1+Coefficients!$C$3*C152+Coefficients!$C$5*C152^2+Coefficients!$C$7*C152^3+Coefficients!$C$9*C152^4+Coefficients!$C$11*C152^5)&gt;=100,100,(Coefficients!$C$2+Coefficients!$C$4*C152+Coefficients!$C$6*C152^2+Coefficients!$C$8*C152^3+Coefficients!$C$10*C152^4)/(1+Coefficients!$C$3*C152+Coefficients!$C$5*C152^2+Coefficients!$C$7*C152^3+Coefficients!$C$9*C152^4+Coefficients!$C$11*C152^5)))</f>
        <v>100</v>
      </c>
      <c r="E152" s="38">
        <f t="shared" si="33"/>
        <v>0</v>
      </c>
      <c r="F152" s="39">
        <f t="shared" si="34"/>
        <v>0</v>
      </c>
      <c r="G152" s="75">
        <f t="shared" si="35"/>
        <v>100</v>
      </c>
    </row>
    <row r="153" spans="1:7" ht="14.25" x14ac:dyDescent="0.2">
      <c r="A153" s="29">
        <f t="shared" si="31"/>
        <v>46260</v>
      </c>
      <c r="B153" s="35">
        <f t="shared" si="28"/>
        <v>52.829568788501028</v>
      </c>
      <c r="C153" s="36">
        <f t="shared" si="32"/>
        <v>120</v>
      </c>
      <c r="D153" s="37">
        <f>IF(C153&lt;=0,0,IF((Coefficients!$C$2+Coefficients!$C$4*C153+Coefficients!$C$6*C153^2+Coefficients!$C$8*C153^3+Coefficients!$C$10*C153^4)/(1+Coefficients!$C$3*C153+Coefficients!$C$5*C153^2+Coefficients!$C$7*C153^3+Coefficients!$C$9*C153^4+Coefficients!$C$11*C153^5)&gt;=100,100,(Coefficients!$C$2+Coefficients!$C$4*C153+Coefficients!$C$6*C153^2+Coefficients!$C$8*C153^3+Coefficients!$C$10*C153^4)/(1+Coefficients!$C$3*C153+Coefficients!$C$5*C153^2+Coefficients!$C$7*C153^3+Coefficients!$C$9*C153^4+Coefficients!$C$11*C153^5)))</f>
        <v>100</v>
      </c>
      <c r="E153" s="38">
        <f t="shared" si="33"/>
        <v>0</v>
      </c>
      <c r="F153" s="39">
        <f t="shared" si="34"/>
        <v>0</v>
      </c>
      <c r="G153" s="75">
        <f t="shared" si="35"/>
        <v>100</v>
      </c>
    </row>
    <row r="154" spans="1:7" ht="14.25" x14ac:dyDescent="0.2">
      <c r="A154" s="29">
        <f t="shared" si="31"/>
        <v>46260</v>
      </c>
      <c r="B154" s="35">
        <f t="shared" si="28"/>
        <v>52.829568788501028</v>
      </c>
      <c r="C154" s="36">
        <f t="shared" si="32"/>
        <v>120</v>
      </c>
      <c r="D154" s="37">
        <f>IF(C154&lt;=0,0,IF((Coefficients!$C$2+Coefficients!$C$4*C154+Coefficients!$C$6*C154^2+Coefficients!$C$8*C154^3+Coefficients!$C$10*C154^4)/(1+Coefficients!$C$3*C154+Coefficients!$C$5*C154^2+Coefficients!$C$7*C154^3+Coefficients!$C$9*C154^4+Coefficients!$C$11*C154^5)&gt;=100,100,(Coefficients!$C$2+Coefficients!$C$4*C154+Coefficients!$C$6*C154^2+Coefficients!$C$8*C154^3+Coefficients!$C$10*C154^4)/(1+Coefficients!$C$3*C154+Coefficients!$C$5*C154^2+Coefficients!$C$7*C154^3+Coefficients!$C$9*C154^4+Coefficients!$C$11*C154^5)))</f>
        <v>100</v>
      </c>
      <c r="E154" s="38">
        <f t="shared" si="33"/>
        <v>0</v>
      </c>
      <c r="F154" s="39">
        <f t="shared" si="34"/>
        <v>0</v>
      </c>
      <c r="G154" s="75">
        <f t="shared" si="35"/>
        <v>100</v>
      </c>
    </row>
    <row r="155" spans="1:7" ht="14.25" x14ac:dyDescent="0.2">
      <c r="A155" s="29">
        <f t="shared" si="31"/>
        <v>46260</v>
      </c>
      <c r="B155" s="35">
        <f t="shared" si="28"/>
        <v>52.829568788501028</v>
      </c>
      <c r="C155" s="36">
        <f t="shared" si="32"/>
        <v>120</v>
      </c>
      <c r="D155" s="37">
        <f>IF(C155&lt;=0,0,IF((Coefficients!$C$2+Coefficients!$C$4*C155+Coefficients!$C$6*C155^2+Coefficients!$C$8*C155^3+Coefficients!$C$10*C155^4)/(1+Coefficients!$C$3*C155+Coefficients!$C$5*C155^2+Coefficients!$C$7*C155^3+Coefficients!$C$9*C155^4+Coefficients!$C$11*C155^5)&gt;=100,100,(Coefficients!$C$2+Coefficients!$C$4*C155+Coefficients!$C$6*C155^2+Coefficients!$C$8*C155^3+Coefficients!$C$10*C155^4)/(1+Coefficients!$C$3*C155+Coefficients!$C$5*C155^2+Coefficients!$C$7*C155^3+Coefficients!$C$9*C155^4+Coefficients!$C$11*C155^5)))</f>
        <v>100</v>
      </c>
      <c r="E155" s="38">
        <f t="shared" si="33"/>
        <v>0</v>
      </c>
      <c r="F155" s="39">
        <f t="shared" si="34"/>
        <v>0</v>
      </c>
      <c r="G155" s="75">
        <f t="shared" si="35"/>
        <v>100</v>
      </c>
    </row>
    <row r="156" spans="1:7" ht="14.25" x14ac:dyDescent="0.2">
      <c r="A156" s="29">
        <f t="shared" si="31"/>
        <v>46260</v>
      </c>
      <c r="B156" s="35">
        <f t="shared" si="28"/>
        <v>52.829568788501028</v>
      </c>
      <c r="C156" s="36">
        <f t="shared" si="32"/>
        <v>120</v>
      </c>
      <c r="D156" s="37">
        <f>IF(C156&lt;=0,0,IF((Coefficients!$C$2+Coefficients!$C$4*C156+Coefficients!$C$6*C156^2+Coefficients!$C$8*C156^3+Coefficients!$C$10*C156^4)/(1+Coefficients!$C$3*C156+Coefficients!$C$5*C156^2+Coefficients!$C$7*C156^3+Coefficients!$C$9*C156^4+Coefficients!$C$11*C156^5)&gt;=100,100,(Coefficients!$C$2+Coefficients!$C$4*C156+Coefficients!$C$6*C156^2+Coefficients!$C$8*C156^3+Coefficients!$C$10*C156^4)/(1+Coefficients!$C$3*C156+Coefficients!$C$5*C156^2+Coefficients!$C$7*C156^3+Coefficients!$C$9*C156^4+Coefficients!$C$11*C156^5)))</f>
        <v>100</v>
      </c>
      <c r="E156" s="38">
        <f t="shared" si="33"/>
        <v>0</v>
      </c>
      <c r="F156" s="39">
        <f t="shared" si="34"/>
        <v>0</v>
      </c>
      <c r="G156" s="75">
        <f t="shared" si="35"/>
        <v>100</v>
      </c>
    </row>
    <row r="157" spans="1:7" ht="14.25" x14ac:dyDescent="0.2">
      <c r="A157" s="29">
        <f t="shared" si="31"/>
        <v>46260</v>
      </c>
      <c r="B157" s="35">
        <f t="shared" si="28"/>
        <v>52.829568788501028</v>
      </c>
      <c r="C157" s="36">
        <f t="shared" si="32"/>
        <v>120</v>
      </c>
      <c r="D157" s="37">
        <f>IF(C157&lt;=0,0,IF((Coefficients!$C$2+Coefficients!$C$4*C157+Coefficients!$C$6*C157^2+Coefficients!$C$8*C157^3+Coefficients!$C$10*C157^4)/(1+Coefficients!$C$3*C157+Coefficients!$C$5*C157^2+Coefficients!$C$7*C157^3+Coefficients!$C$9*C157^4+Coefficients!$C$11*C157^5)&gt;=100,100,(Coefficients!$C$2+Coefficients!$C$4*C157+Coefficients!$C$6*C157^2+Coefficients!$C$8*C157^3+Coefficients!$C$10*C157^4)/(1+Coefficients!$C$3*C157+Coefficients!$C$5*C157^2+Coefficients!$C$7*C157^3+Coefficients!$C$9*C157^4+Coefficients!$C$11*C157^5)))</f>
        <v>100</v>
      </c>
      <c r="E157" s="38">
        <f t="shared" si="33"/>
        <v>0</v>
      </c>
      <c r="F157" s="39">
        <f t="shared" si="34"/>
        <v>0</v>
      </c>
      <c r="G157" s="75">
        <f t="shared" si="35"/>
        <v>100</v>
      </c>
    </row>
    <row r="158" spans="1:7" ht="14.25" x14ac:dyDescent="0.2">
      <c r="A158" s="29">
        <f t="shared" si="31"/>
        <v>46260</v>
      </c>
      <c r="B158" s="35">
        <f t="shared" si="28"/>
        <v>52.829568788501028</v>
      </c>
      <c r="C158" s="36">
        <f t="shared" si="32"/>
        <v>120</v>
      </c>
      <c r="D158" s="37">
        <f>IF(C158&lt;=0,0,IF((Coefficients!$C$2+Coefficients!$C$4*C158+Coefficients!$C$6*C158^2+Coefficients!$C$8*C158^3+Coefficients!$C$10*C158^4)/(1+Coefficients!$C$3*C158+Coefficients!$C$5*C158^2+Coefficients!$C$7*C158^3+Coefficients!$C$9*C158^4+Coefficients!$C$11*C158^5)&gt;=100,100,(Coefficients!$C$2+Coefficients!$C$4*C158+Coefficients!$C$6*C158^2+Coefficients!$C$8*C158^3+Coefficients!$C$10*C158^4)/(1+Coefficients!$C$3*C158+Coefficients!$C$5*C158^2+Coefficients!$C$7*C158^3+Coefficients!$C$9*C158^4+Coefficients!$C$11*C158^5)))</f>
        <v>100</v>
      </c>
      <c r="E158" s="38">
        <f t="shared" si="33"/>
        <v>0</v>
      </c>
      <c r="F158" s="39">
        <f t="shared" si="34"/>
        <v>0</v>
      </c>
      <c r="G158" s="75">
        <f t="shared" si="35"/>
        <v>100</v>
      </c>
    </row>
    <row r="159" spans="1:7" ht="14.25" x14ac:dyDescent="0.2">
      <c r="A159" s="29">
        <f t="shared" si="31"/>
        <v>46260</v>
      </c>
      <c r="B159" s="35">
        <f t="shared" si="28"/>
        <v>52.829568788501028</v>
      </c>
      <c r="C159" s="36">
        <f t="shared" si="32"/>
        <v>120</v>
      </c>
      <c r="D159" s="37">
        <f>IF(C159&lt;=0,0,IF((Coefficients!$C$2+Coefficients!$C$4*C159+Coefficients!$C$6*C159^2+Coefficients!$C$8*C159^3+Coefficients!$C$10*C159^4)/(1+Coefficients!$C$3*C159+Coefficients!$C$5*C159^2+Coefficients!$C$7*C159^3+Coefficients!$C$9*C159^4+Coefficients!$C$11*C159^5)&gt;=100,100,(Coefficients!$C$2+Coefficients!$C$4*C159+Coefficients!$C$6*C159^2+Coefficients!$C$8*C159^3+Coefficients!$C$10*C159^4)/(1+Coefficients!$C$3*C159+Coefficients!$C$5*C159^2+Coefficients!$C$7*C159^3+Coefficients!$C$9*C159^4+Coefficients!$C$11*C159^5)))</f>
        <v>100</v>
      </c>
      <c r="E159" s="38">
        <f t="shared" si="33"/>
        <v>0</v>
      </c>
      <c r="F159" s="39">
        <f t="shared" si="34"/>
        <v>0</v>
      </c>
      <c r="G159" s="75">
        <f t="shared" si="35"/>
        <v>100</v>
      </c>
    </row>
    <row r="160" spans="1:7" ht="14.25" x14ac:dyDescent="0.2">
      <c r="A160" s="29">
        <f t="shared" si="31"/>
        <v>46260</v>
      </c>
      <c r="B160" s="35">
        <f t="shared" si="28"/>
        <v>52.829568788501028</v>
      </c>
      <c r="C160" s="36">
        <f t="shared" si="32"/>
        <v>120</v>
      </c>
      <c r="D160" s="37">
        <f>IF(C160&lt;=0,0,IF((Coefficients!$C$2+Coefficients!$C$4*C160+Coefficients!$C$6*C160^2+Coefficients!$C$8*C160^3+Coefficients!$C$10*C160^4)/(1+Coefficients!$C$3*C160+Coefficients!$C$5*C160^2+Coefficients!$C$7*C160^3+Coefficients!$C$9*C160^4+Coefficients!$C$11*C160^5)&gt;=100,100,(Coefficients!$C$2+Coefficients!$C$4*C160+Coefficients!$C$6*C160^2+Coefficients!$C$8*C160^3+Coefficients!$C$10*C160^4)/(1+Coefficients!$C$3*C160+Coefficients!$C$5*C160^2+Coefficients!$C$7*C160^3+Coefficients!$C$9*C160^4+Coefficients!$C$11*C160^5)))</f>
        <v>100</v>
      </c>
      <c r="E160" s="38">
        <f t="shared" si="33"/>
        <v>0</v>
      </c>
      <c r="F160" s="39">
        <f t="shared" si="34"/>
        <v>0</v>
      </c>
      <c r="G160" s="75">
        <f t="shared" si="35"/>
        <v>100</v>
      </c>
    </row>
    <row r="161" spans="1:7" ht="14.25" x14ac:dyDescent="0.2">
      <c r="A161" s="29">
        <f t="shared" si="31"/>
        <v>46260</v>
      </c>
      <c r="B161" s="35">
        <f t="shared" si="28"/>
        <v>52.829568788501028</v>
      </c>
      <c r="C161" s="36">
        <f t="shared" si="32"/>
        <v>120</v>
      </c>
      <c r="D161" s="37">
        <f>IF(C161&lt;=0,0,IF((Coefficients!$C$2+Coefficients!$C$4*C161+Coefficients!$C$6*C161^2+Coefficients!$C$8*C161^3+Coefficients!$C$10*C161^4)/(1+Coefficients!$C$3*C161+Coefficients!$C$5*C161^2+Coefficients!$C$7*C161^3+Coefficients!$C$9*C161^4+Coefficients!$C$11*C161^5)&gt;=100,100,(Coefficients!$C$2+Coefficients!$C$4*C161+Coefficients!$C$6*C161^2+Coefficients!$C$8*C161^3+Coefficients!$C$10*C161^4)/(1+Coefficients!$C$3*C161+Coefficients!$C$5*C161^2+Coefficients!$C$7*C161^3+Coefficients!$C$9*C161^4+Coefficients!$C$11*C161^5)))</f>
        <v>100</v>
      </c>
      <c r="E161" s="38">
        <f t="shared" si="33"/>
        <v>0</v>
      </c>
      <c r="F161" s="39">
        <f t="shared" si="34"/>
        <v>0</v>
      </c>
      <c r="G161" s="75">
        <f t="shared" si="35"/>
        <v>100</v>
      </c>
    </row>
    <row r="162" spans="1:7" ht="14.25" x14ac:dyDescent="0.2">
      <c r="A162" s="29">
        <f t="shared" si="31"/>
        <v>46260</v>
      </c>
      <c r="B162" s="35">
        <f t="shared" si="28"/>
        <v>52.829568788501028</v>
      </c>
      <c r="C162" s="36">
        <f t="shared" si="32"/>
        <v>120</v>
      </c>
      <c r="D162" s="37">
        <f>IF(C162&lt;=0,0,IF((Coefficients!$C$2+Coefficients!$C$4*C162+Coefficients!$C$6*C162^2+Coefficients!$C$8*C162^3+Coefficients!$C$10*C162^4)/(1+Coefficients!$C$3*C162+Coefficients!$C$5*C162^2+Coefficients!$C$7*C162^3+Coefficients!$C$9*C162^4+Coefficients!$C$11*C162^5)&gt;=100,100,(Coefficients!$C$2+Coefficients!$C$4*C162+Coefficients!$C$6*C162^2+Coefficients!$C$8*C162^3+Coefficients!$C$10*C162^4)/(1+Coefficients!$C$3*C162+Coefficients!$C$5*C162^2+Coefficients!$C$7*C162^3+Coefficients!$C$9*C162^4+Coefficients!$C$11*C162^5)))</f>
        <v>100</v>
      </c>
      <c r="E162" s="38">
        <f t="shared" si="33"/>
        <v>0</v>
      </c>
      <c r="F162" s="39">
        <f t="shared" si="34"/>
        <v>0</v>
      </c>
      <c r="G162" s="75">
        <f t="shared" si="35"/>
        <v>100</v>
      </c>
    </row>
    <row r="163" spans="1:7" ht="14.25" x14ac:dyDescent="0.2">
      <c r="A163" s="29">
        <f t="shared" si="31"/>
        <v>46260</v>
      </c>
      <c r="B163" s="35">
        <f t="shared" si="28"/>
        <v>52.829568788501028</v>
      </c>
      <c r="C163" s="36">
        <f t="shared" si="32"/>
        <v>120</v>
      </c>
      <c r="D163" s="37">
        <f>IF(C163&lt;=0,0,IF((Coefficients!$C$2+Coefficients!$C$4*C163+Coefficients!$C$6*C163^2+Coefficients!$C$8*C163^3+Coefficients!$C$10*C163^4)/(1+Coefficients!$C$3*C163+Coefficients!$C$5*C163^2+Coefficients!$C$7*C163^3+Coefficients!$C$9*C163^4+Coefficients!$C$11*C163^5)&gt;=100,100,(Coefficients!$C$2+Coefficients!$C$4*C163+Coefficients!$C$6*C163^2+Coefficients!$C$8*C163^3+Coefficients!$C$10*C163^4)/(1+Coefficients!$C$3*C163+Coefficients!$C$5*C163^2+Coefficients!$C$7*C163^3+Coefficients!$C$9*C163^4+Coefficients!$C$11*C163^5)))</f>
        <v>100</v>
      </c>
      <c r="E163" s="38">
        <f t="shared" si="33"/>
        <v>0</v>
      </c>
      <c r="F163" s="39">
        <f t="shared" si="34"/>
        <v>0</v>
      </c>
      <c r="G163" s="75">
        <f t="shared" si="35"/>
        <v>100</v>
      </c>
    </row>
    <row r="164" spans="1:7" ht="14.25" x14ac:dyDescent="0.2">
      <c r="A164" s="29">
        <f t="shared" si="31"/>
        <v>46260</v>
      </c>
      <c r="B164" s="35">
        <f t="shared" si="28"/>
        <v>52.829568788501028</v>
      </c>
      <c r="C164" s="36">
        <f t="shared" si="32"/>
        <v>120</v>
      </c>
      <c r="D164" s="37">
        <f>IF(C164&lt;=0,0,IF((Coefficients!$C$2+Coefficients!$C$4*C164+Coefficients!$C$6*C164^2+Coefficients!$C$8*C164^3+Coefficients!$C$10*C164^4)/(1+Coefficients!$C$3*C164+Coefficients!$C$5*C164^2+Coefficients!$C$7*C164^3+Coefficients!$C$9*C164^4+Coefficients!$C$11*C164^5)&gt;=100,100,(Coefficients!$C$2+Coefficients!$C$4*C164+Coefficients!$C$6*C164^2+Coefficients!$C$8*C164^3+Coefficients!$C$10*C164^4)/(1+Coefficients!$C$3*C164+Coefficients!$C$5*C164^2+Coefficients!$C$7*C164^3+Coefficients!$C$9*C164^4+Coefficients!$C$11*C164^5)))</f>
        <v>100</v>
      </c>
      <c r="E164" s="38">
        <f t="shared" si="33"/>
        <v>0</v>
      </c>
      <c r="F164" s="39">
        <f t="shared" si="34"/>
        <v>0</v>
      </c>
      <c r="G164" s="75">
        <f t="shared" si="35"/>
        <v>100</v>
      </c>
    </row>
    <row r="165" spans="1:7" ht="14.25" x14ac:dyDescent="0.2">
      <c r="A165" s="29">
        <f t="shared" si="31"/>
        <v>46260</v>
      </c>
      <c r="B165" s="35">
        <f t="shared" si="28"/>
        <v>52.829568788501028</v>
      </c>
      <c r="C165" s="36">
        <f t="shared" si="32"/>
        <v>120</v>
      </c>
      <c r="D165" s="37">
        <f>IF(C165&lt;=0,0,IF((Coefficients!$C$2+Coefficients!$C$4*C165+Coefficients!$C$6*C165^2+Coefficients!$C$8*C165^3+Coefficients!$C$10*C165^4)/(1+Coefficients!$C$3*C165+Coefficients!$C$5*C165^2+Coefficients!$C$7*C165^3+Coefficients!$C$9*C165^4+Coefficients!$C$11*C165^5)&gt;=100,100,(Coefficients!$C$2+Coefficients!$C$4*C165+Coefficients!$C$6*C165^2+Coefficients!$C$8*C165^3+Coefficients!$C$10*C165^4)/(1+Coefficients!$C$3*C165+Coefficients!$C$5*C165^2+Coefficients!$C$7*C165^3+Coefficients!$C$9*C165^4+Coefficients!$C$11*C165^5)))</f>
        <v>100</v>
      </c>
      <c r="E165" s="38">
        <f t="shared" si="33"/>
        <v>0</v>
      </c>
      <c r="F165" s="39">
        <f t="shared" si="34"/>
        <v>0</v>
      </c>
      <c r="G165" s="75">
        <f t="shared" si="35"/>
        <v>100</v>
      </c>
    </row>
    <row r="166" spans="1:7" ht="14.25" x14ac:dyDescent="0.2">
      <c r="A166" s="29">
        <f t="shared" si="31"/>
        <v>46260</v>
      </c>
      <c r="B166" s="35">
        <f t="shared" si="28"/>
        <v>52.829568788501028</v>
      </c>
      <c r="C166" s="36">
        <f t="shared" si="32"/>
        <v>120</v>
      </c>
      <c r="D166" s="37">
        <f>IF(C166&lt;=0,0,IF((Coefficients!$C$2+Coefficients!$C$4*C166+Coefficients!$C$6*C166^2+Coefficients!$C$8*C166^3+Coefficients!$C$10*C166^4)/(1+Coefficients!$C$3*C166+Coefficients!$C$5*C166^2+Coefficients!$C$7*C166^3+Coefficients!$C$9*C166^4+Coefficients!$C$11*C166^5)&gt;=100,100,(Coefficients!$C$2+Coefficients!$C$4*C166+Coefficients!$C$6*C166^2+Coefficients!$C$8*C166^3+Coefficients!$C$10*C166^4)/(1+Coefficients!$C$3*C166+Coefficients!$C$5*C166^2+Coefficients!$C$7*C166^3+Coefficients!$C$9*C166^4+Coefficients!$C$11*C166^5)))</f>
        <v>100</v>
      </c>
      <c r="E166" s="38">
        <f t="shared" si="33"/>
        <v>0</v>
      </c>
      <c r="F166" s="39">
        <f t="shared" si="34"/>
        <v>0</v>
      </c>
      <c r="G166" s="75">
        <f t="shared" si="35"/>
        <v>100</v>
      </c>
    </row>
    <row r="167" spans="1:7" ht="14.25" x14ac:dyDescent="0.2">
      <c r="A167" s="29">
        <f t="shared" si="31"/>
        <v>46260</v>
      </c>
      <c r="B167" s="35">
        <f t="shared" si="28"/>
        <v>52.829568788501028</v>
      </c>
      <c r="C167" s="36">
        <f t="shared" si="32"/>
        <v>120</v>
      </c>
      <c r="D167" s="37">
        <f>IF(C167&lt;=0,0,IF((Coefficients!$C$2+Coefficients!$C$4*C167+Coefficients!$C$6*C167^2+Coefficients!$C$8*C167^3+Coefficients!$C$10*C167^4)/(1+Coefficients!$C$3*C167+Coefficients!$C$5*C167^2+Coefficients!$C$7*C167^3+Coefficients!$C$9*C167^4+Coefficients!$C$11*C167^5)&gt;=100,100,(Coefficients!$C$2+Coefficients!$C$4*C167+Coefficients!$C$6*C167^2+Coefficients!$C$8*C167^3+Coefficients!$C$10*C167^4)/(1+Coefficients!$C$3*C167+Coefficients!$C$5*C167^2+Coefficients!$C$7*C167^3+Coefficients!$C$9*C167^4+Coefficients!$C$11*C167^5)))</f>
        <v>100</v>
      </c>
      <c r="E167" s="38">
        <f t="shared" si="33"/>
        <v>0</v>
      </c>
      <c r="F167" s="39">
        <f t="shared" si="34"/>
        <v>0</v>
      </c>
      <c r="G167" s="75">
        <f t="shared" si="35"/>
        <v>100</v>
      </c>
    </row>
    <row r="168" spans="1:7" ht="14.25" x14ac:dyDescent="0.2">
      <c r="A168" s="29">
        <f t="shared" si="31"/>
        <v>46260</v>
      </c>
      <c r="B168" s="35">
        <f t="shared" si="28"/>
        <v>52.829568788501028</v>
      </c>
      <c r="C168" s="36">
        <f t="shared" si="32"/>
        <v>120</v>
      </c>
      <c r="D168" s="37">
        <f>IF(C168&lt;=0,0,IF((Coefficients!$C$2+Coefficients!$C$4*C168+Coefficients!$C$6*C168^2+Coefficients!$C$8*C168^3+Coefficients!$C$10*C168^4)/(1+Coefficients!$C$3*C168+Coefficients!$C$5*C168^2+Coefficients!$C$7*C168^3+Coefficients!$C$9*C168^4+Coefficients!$C$11*C168^5)&gt;=100,100,(Coefficients!$C$2+Coefficients!$C$4*C168+Coefficients!$C$6*C168^2+Coefficients!$C$8*C168^3+Coefficients!$C$10*C168^4)/(1+Coefficients!$C$3*C168+Coefficients!$C$5*C168^2+Coefficients!$C$7*C168^3+Coefficients!$C$9*C168^4+Coefficients!$C$11*C168^5)))</f>
        <v>100</v>
      </c>
      <c r="E168" s="38">
        <f t="shared" si="33"/>
        <v>0</v>
      </c>
      <c r="F168" s="39">
        <f t="shared" si="34"/>
        <v>0</v>
      </c>
      <c r="G168" s="75">
        <f t="shared" si="35"/>
        <v>100</v>
      </c>
    </row>
    <row r="169" spans="1:7" ht="14.25" x14ac:dyDescent="0.2">
      <c r="A169" s="29">
        <f t="shared" si="31"/>
        <v>46260</v>
      </c>
      <c r="B169" s="35">
        <f t="shared" si="28"/>
        <v>52.829568788501028</v>
      </c>
      <c r="C169" s="36">
        <f t="shared" si="32"/>
        <v>120</v>
      </c>
      <c r="D169" s="37">
        <f>IF(C169&lt;=0,0,IF((Coefficients!$C$2+Coefficients!$C$4*C169+Coefficients!$C$6*C169^2+Coefficients!$C$8*C169^3+Coefficients!$C$10*C169^4)/(1+Coefficients!$C$3*C169+Coefficients!$C$5*C169^2+Coefficients!$C$7*C169^3+Coefficients!$C$9*C169^4+Coefficients!$C$11*C169^5)&gt;=100,100,(Coefficients!$C$2+Coefficients!$C$4*C169+Coefficients!$C$6*C169^2+Coefficients!$C$8*C169^3+Coefficients!$C$10*C169^4)/(1+Coefficients!$C$3*C169+Coefficients!$C$5*C169^2+Coefficients!$C$7*C169^3+Coefficients!$C$9*C169^4+Coefficients!$C$11*C169^5)))</f>
        <v>100</v>
      </c>
      <c r="E169" s="38">
        <f t="shared" si="33"/>
        <v>0</v>
      </c>
      <c r="F169" s="39">
        <f t="shared" si="34"/>
        <v>0</v>
      </c>
      <c r="G169" s="75">
        <f t="shared" si="35"/>
        <v>100</v>
      </c>
    </row>
    <row r="170" spans="1:7" ht="14.25" x14ac:dyDescent="0.2">
      <c r="A170" s="29">
        <f t="shared" si="31"/>
        <v>46260</v>
      </c>
      <c r="B170" s="35">
        <f t="shared" si="28"/>
        <v>52.829568788501028</v>
      </c>
      <c r="C170" s="36">
        <f t="shared" si="32"/>
        <v>120</v>
      </c>
      <c r="D170" s="37">
        <f>IF(C170&lt;=0,0,IF((Coefficients!$C$2+Coefficients!$C$4*C170+Coefficients!$C$6*C170^2+Coefficients!$C$8*C170^3+Coefficients!$C$10*C170^4)/(1+Coefficients!$C$3*C170+Coefficients!$C$5*C170^2+Coefficients!$C$7*C170^3+Coefficients!$C$9*C170^4+Coefficients!$C$11*C170^5)&gt;=100,100,(Coefficients!$C$2+Coefficients!$C$4*C170+Coefficients!$C$6*C170^2+Coefficients!$C$8*C170^3+Coefficients!$C$10*C170^4)/(1+Coefficients!$C$3*C170+Coefficients!$C$5*C170^2+Coefficients!$C$7*C170^3+Coefficients!$C$9*C170^4+Coefficients!$C$11*C170^5)))</f>
        <v>100</v>
      </c>
      <c r="E170" s="38">
        <f t="shared" si="33"/>
        <v>0</v>
      </c>
      <c r="F170" s="39">
        <f t="shared" si="34"/>
        <v>0</v>
      </c>
      <c r="G170" s="75">
        <f t="shared" si="35"/>
        <v>100</v>
      </c>
    </row>
    <row r="171" spans="1:7" ht="14.25" x14ac:dyDescent="0.2">
      <c r="A171" s="29">
        <f t="shared" si="31"/>
        <v>46260</v>
      </c>
      <c r="B171" s="35">
        <f t="shared" si="28"/>
        <v>52.829568788501028</v>
      </c>
      <c r="C171" s="36">
        <f t="shared" si="32"/>
        <v>120</v>
      </c>
      <c r="D171" s="37">
        <f>IF(C171&lt;=0,0,IF((Coefficients!$C$2+Coefficients!$C$4*C171+Coefficients!$C$6*C171^2+Coefficients!$C$8*C171^3+Coefficients!$C$10*C171^4)/(1+Coefficients!$C$3*C171+Coefficients!$C$5*C171^2+Coefficients!$C$7*C171^3+Coefficients!$C$9*C171^4+Coefficients!$C$11*C171^5)&gt;=100,100,(Coefficients!$C$2+Coefficients!$C$4*C171+Coefficients!$C$6*C171^2+Coefficients!$C$8*C171^3+Coefficients!$C$10*C171^4)/(1+Coefficients!$C$3*C171+Coefficients!$C$5*C171^2+Coefficients!$C$7*C171^3+Coefficients!$C$9*C171^4+Coefficients!$C$11*C171^5)))</f>
        <v>100</v>
      </c>
      <c r="E171" s="38">
        <f t="shared" si="33"/>
        <v>0</v>
      </c>
      <c r="F171" s="39">
        <f t="shared" si="34"/>
        <v>0</v>
      </c>
      <c r="G171" s="75">
        <f t="shared" si="35"/>
        <v>100</v>
      </c>
    </row>
    <row r="172" spans="1:7" ht="14.25" x14ac:dyDescent="0.2">
      <c r="A172" s="29">
        <f t="shared" si="31"/>
        <v>46260</v>
      </c>
      <c r="B172" s="35">
        <f t="shared" si="28"/>
        <v>52.829568788501028</v>
      </c>
      <c r="C172" s="36">
        <f t="shared" si="32"/>
        <v>120</v>
      </c>
      <c r="D172" s="37">
        <f>IF(C172&lt;=0,0,IF((Coefficients!$C$2+Coefficients!$C$4*C172+Coefficients!$C$6*C172^2+Coefficients!$C$8*C172^3+Coefficients!$C$10*C172^4)/(1+Coefficients!$C$3*C172+Coefficients!$C$5*C172^2+Coefficients!$C$7*C172^3+Coefficients!$C$9*C172^4+Coefficients!$C$11*C172^5)&gt;=100,100,(Coefficients!$C$2+Coefficients!$C$4*C172+Coefficients!$C$6*C172^2+Coefficients!$C$8*C172^3+Coefficients!$C$10*C172^4)/(1+Coefficients!$C$3*C172+Coefficients!$C$5*C172^2+Coefficients!$C$7*C172^3+Coefficients!$C$9*C172^4+Coefficients!$C$11*C172^5)))</f>
        <v>100</v>
      </c>
      <c r="E172" s="38">
        <f t="shared" si="33"/>
        <v>0</v>
      </c>
      <c r="F172" s="39">
        <f t="shared" si="34"/>
        <v>0</v>
      </c>
      <c r="G172" s="75">
        <f t="shared" si="35"/>
        <v>100</v>
      </c>
    </row>
    <row r="173" spans="1:7" ht="14.25" x14ac:dyDescent="0.2">
      <c r="A173" s="29">
        <f t="shared" si="31"/>
        <v>46260</v>
      </c>
      <c r="B173" s="35">
        <f t="shared" si="28"/>
        <v>52.829568788501028</v>
      </c>
      <c r="C173" s="36">
        <f t="shared" si="32"/>
        <v>120</v>
      </c>
      <c r="D173" s="37">
        <f>IF(C173&lt;=0,0,IF((Coefficients!$C$2+Coefficients!$C$4*C173+Coefficients!$C$6*C173^2+Coefficients!$C$8*C173^3+Coefficients!$C$10*C173^4)/(1+Coefficients!$C$3*C173+Coefficients!$C$5*C173^2+Coefficients!$C$7*C173^3+Coefficients!$C$9*C173^4+Coefficients!$C$11*C173^5)&gt;=100,100,(Coefficients!$C$2+Coefficients!$C$4*C173+Coefficients!$C$6*C173^2+Coefficients!$C$8*C173^3+Coefficients!$C$10*C173^4)/(1+Coefficients!$C$3*C173+Coefficients!$C$5*C173^2+Coefficients!$C$7*C173^3+Coefficients!$C$9*C173^4+Coefficients!$C$11*C173^5)))</f>
        <v>100</v>
      </c>
      <c r="E173" s="38">
        <f t="shared" si="33"/>
        <v>0</v>
      </c>
      <c r="F173" s="39">
        <f t="shared" si="34"/>
        <v>0</v>
      </c>
      <c r="G173" s="75">
        <f t="shared" si="35"/>
        <v>100</v>
      </c>
    </row>
    <row r="174" spans="1:7" ht="14.25" x14ac:dyDescent="0.2">
      <c r="A174" s="29">
        <f t="shared" si="31"/>
        <v>46260</v>
      </c>
      <c r="B174" s="35">
        <f t="shared" si="28"/>
        <v>52.829568788501028</v>
      </c>
      <c r="C174" s="36">
        <f t="shared" si="32"/>
        <v>120</v>
      </c>
      <c r="D174" s="37">
        <f>IF(C174&lt;=0,0,IF((Coefficients!$C$2+Coefficients!$C$4*C174+Coefficients!$C$6*C174^2+Coefficients!$C$8*C174^3+Coefficients!$C$10*C174^4)/(1+Coefficients!$C$3*C174+Coefficients!$C$5*C174^2+Coefficients!$C$7*C174^3+Coefficients!$C$9*C174^4+Coefficients!$C$11*C174^5)&gt;=100,100,(Coefficients!$C$2+Coefficients!$C$4*C174+Coefficients!$C$6*C174^2+Coefficients!$C$8*C174^3+Coefficients!$C$10*C174^4)/(1+Coefficients!$C$3*C174+Coefficients!$C$5*C174^2+Coefficients!$C$7*C174^3+Coefficients!$C$9*C174^4+Coefficients!$C$11*C174^5)))</f>
        <v>100</v>
      </c>
      <c r="E174" s="38">
        <f t="shared" si="33"/>
        <v>0</v>
      </c>
      <c r="F174" s="39">
        <f t="shared" si="34"/>
        <v>0</v>
      </c>
      <c r="G174" s="75">
        <f t="shared" si="35"/>
        <v>100</v>
      </c>
    </row>
    <row r="175" spans="1:7" ht="14.25" x14ac:dyDescent="0.2">
      <c r="A175" s="29">
        <f t="shared" si="31"/>
        <v>46260</v>
      </c>
      <c r="B175" s="35">
        <f t="shared" si="28"/>
        <v>52.829568788501028</v>
      </c>
      <c r="C175" s="36">
        <f t="shared" si="32"/>
        <v>120</v>
      </c>
      <c r="D175" s="37">
        <f>IF(C175&lt;=0,0,IF((Coefficients!$C$2+Coefficients!$C$4*C175+Coefficients!$C$6*C175^2+Coefficients!$C$8*C175^3+Coefficients!$C$10*C175^4)/(1+Coefficients!$C$3*C175+Coefficients!$C$5*C175^2+Coefficients!$C$7*C175^3+Coefficients!$C$9*C175^4+Coefficients!$C$11*C175^5)&gt;=100,100,(Coefficients!$C$2+Coefficients!$C$4*C175+Coefficients!$C$6*C175^2+Coefficients!$C$8*C175^3+Coefficients!$C$10*C175^4)/(1+Coefficients!$C$3*C175+Coefficients!$C$5*C175^2+Coefficients!$C$7*C175^3+Coefficients!$C$9*C175^4+Coefficients!$C$11*C175^5)))</f>
        <v>100</v>
      </c>
      <c r="E175" s="38">
        <f t="shared" si="33"/>
        <v>0</v>
      </c>
      <c r="F175" s="39">
        <f t="shared" si="34"/>
        <v>0</v>
      </c>
      <c r="G175" s="75">
        <f t="shared" si="35"/>
        <v>100</v>
      </c>
    </row>
    <row r="176" spans="1:7" ht="14.25" x14ac:dyDescent="0.2">
      <c r="A176" s="29">
        <f t="shared" si="31"/>
        <v>46260</v>
      </c>
      <c r="B176" s="35">
        <f t="shared" si="28"/>
        <v>52.829568788501028</v>
      </c>
      <c r="C176" s="36">
        <f t="shared" si="32"/>
        <v>120</v>
      </c>
      <c r="D176" s="37">
        <f>IF(C176&lt;=0,0,IF((Coefficients!$C$2+Coefficients!$C$4*C176+Coefficients!$C$6*C176^2+Coefficients!$C$8*C176^3+Coefficients!$C$10*C176^4)/(1+Coefficients!$C$3*C176+Coefficients!$C$5*C176^2+Coefficients!$C$7*C176^3+Coefficients!$C$9*C176^4+Coefficients!$C$11*C176^5)&gt;=100,100,(Coefficients!$C$2+Coefficients!$C$4*C176+Coefficients!$C$6*C176^2+Coefficients!$C$8*C176^3+Coefficients!$C$10*C176^4)/(1+Coefficients!$C$3*C176+Coefficients!$C$5*C176^2+Coefficients!$C$7*C176^3+Coefficients!$C$9*C176^4+Coefficients!$C$11*C176^5)))</f>
        <v>100</v>
      </c>
      <c r="E176" s="38">
        <f t="shared" si="33"/>
        <v>0</v>
      </c>
      <c r="F176" s="39">
        <f t="shared" si="34"/>
        <v>0</v>
      </c>
      <c r="G176" s="75">
        <f t="shared" si="35"/>
        <v>100</v>
      </c>
    </row>
    <row r="177" spans="1:7" ht="14.25" x14ac:dyDescent="0.2">
      <c r="A177" s="29">
        <f t="shared" si="31"/>
        <v>46260</v>
      </c>
      <c r="B177" s="35">
        <f t="shared" si="28"/>
        <v>52.829568788501028</v>
      </c>
      <c r="C177" s="36">
        <f t="shared" si="32"/>
        <v>120</v>
      </c>
      <c r="D177" s="37">
        <f>IF(C177&lt;=0,0,IF((Coefficients!$C$2+Coefficients!$C$4*C177+Coefficients!$C$6*C177^2+Coefficients!$C$8*C177^3+Coefficients!$C$10*C177^4)/(1+Coefficients!$C$3*C177+Coefficients!$C$5*C177^2+Coefficients!$C$7*C177^3+Coefficients!$C$9*C177^4+Coefficients!$C$11*C177^5)&gt;=100,100,(Coefficients!$C$2+Coefficients!$C$4*C177+Coefficients!$C$6*C177^2+Coefficients!$C$8*C177^3+Coefficients!$C$10*C177^4)/(1+Coefficients!$C$3*C177+Coefficients!$C$5*C177^2+Coefficients!$C$7*C177^3+Coefficients!$C$9*C177^4+Coefficients!$C$11*C177^5)))</f>
        <v>100</v>
      </c>
      <c r="E177" s="38">
        <f t="shared" si="33"/>
        <v>0</v>
      </c>
      <c r="F177" s="39">
        <f t="shared" si="34"/>
        <v>0</v>
      </c>
      <c r="G177" s="75">
        <f t="shared" si="35"/>
        <v>100</v>
      </c>
    </row>
    <row r="178" spans="1:7" ht="14.25" x14ac:dyDescent="0.2">
      <c r="A178" s="29">
        <f t="shared" si="31"/>
        <v>46260</v>
      </c>
      <c r="B178" s="35">
        <f t="shared" si="28"/>
        <v>52.829568788501028</v>
      </c>
      <c r="C178" s="36">
        <f t="shared" si="32"/>
        <v>120</v>
      </c>
      <c r="D178" s="37">
        <f>IF(C178&lt;=0,0,IF((Coefficients!$C$2+Coefficients!$C$4*C178+Coefficients!$C$6*C178^2+Coefficients!$C$8*C178^3+Coefficients!$C$10*C178^4)/(1+Coefficients!$C$3*C178+Coefficients!$C$5*C178^2+Coefficients!$C$7*C178^3+Coefficients!$C$9*C178^4+Coefficients!$C$11*C178^5)&gt;=100,100,(Coefficients!$C$2+Coefficients!$C$4*C178+Coefficients!$C$6*C178^2+Coefficients!$C$8*C178^3+Coefficients!$C$10*C178^4)/(1+Coefficients!$C$3*C178+Coefficients!$C$5*C178^2+Coefficients!$C$7*C178^3+Coefficients!$C$9*C178^4+Coefficients!$C$11*C178^5)))</f>
        <v>100</v>
      </c>
      <c r="E178" s="38">
        <f t="shared" si="33"/>
        <v>0</v>
      </c>
      <c r="F178" s="39">
        <f t="shared" si="34"/>
        <v>0</v>
      </c>
      <c r="G178" s="75">
        <f t="shared" si="35"/>
        <v>100</v>
      </c>
    </row>
    <row r="179" spans="1:7" ht="14.25" x14ac:dyDescent="0.2">
      <c r="A179" s="29">
        <f t="shared" si="31"/>
        <v>46260</v>
      </c>
      <c r="B179" s="35">
        <f t="shared" si="28"/>
        <v>52.829568788501028</v>
      </c>
      <c r="C179" s="36">
        <f t="shared" si="32"/>
        <v>120</v>
      </c>
      <c r="D179" s="37">
        <f>IF(C179&lt;=0,0,IF((Coefficients!$C$2+Coefficients!$C$4*C179+Coefficients!$C$6*C179^2+Coefficients!$C$8*C179^3+Coefficients!$C$10*C179^4)/(1+Coefficients!$C$3*C179+Coefficients!$C$5*C179^2+Coefficients!$C$7*C179^3+Coefficients!$C$9*C179^4+Coefficients!$C$11*C179^5)&gt;=100,100,(Coefficients!$C$2+Coefficients!$C$4*C179+Coefficients!$C$6*C179^2+Coefficients!$C$8*C179^3+Coefficients!$C$10*C179^4)/(1+Coefficients!$C$3*C179+Coefficients!$C$5*C179^2+Coefficients!$C$7*C179^3+Coefficients!$C$9*C179^4+Coefficients!$C$11*C179^5)))</f>
        <v>100</v>
      </c>
      <c r="E179" s="38">
        <f t="shared" si="33"/>
        <v>0</v>
      </c>
      <c r="F179" s="39">
        <f t="shared" si="34"/>
        <v>0</v>
      </c>
      <c r="G179" s="75">
        <f t="shared" si="35"/>
        <v>100</v>
      </c>
    </row>
    <row r="180" spans="1:7" ht="14.25" x14ac:dyDescent="0.2">
      <c r="A180" s="29">
        <f t="shared" si="31"/>
        <v>46260</v>
      </c>
      <c r="B180" s="35">
        <f t="shared" si="28"/>
        <v>52.829568788501028</v>
      </c>
      <c r="C180" s="36">
        <f t="shared" si="32"/>
        <v>120</v>
      </c>
      <c r="D180" s="37">
        <f>IF(C180&lt;=0,0,IF((Coefficients!$C$2+Coefficients!$C$4*C180+Coefficients!$C$6*C180^2+Coefficients!$C$8*C180^3+Coefficients!$C$10*C180^4)/(1+Coefficients!$C$3*C180+Coefficients!$C$5*C180^2+Coefficients!$C$7*C180^3+Coefficients!$C$9*C180^4+Coefficients!$C$11*C180^5)&gt;=100,100,(Coefficients!$C$2+Coefficients!$C$4*C180+Coefficients!$C$6*C180^2+Coefficients!$C$8*C180^3+Coefficients!$C$10*C180^4)/(1+Coefficients!$C$3*C180+Coefficients!$C$5*C180^2+Coefficients!$C$7*C180^3+Coefficients!$C$9*C180^4+Coefficients!$C$11*C180^5)))</f>
        <v>100</v>
      </c>
      <c r="E180" s="38">
        <f t="shared" si="33"/>
        <v>0</v>
      </c>
      <c r="F180" s="39">
        <f t="shared" si="34"/>
        <v>0</v>
      </c>
      <c r="G180" s="75">
        <f t="shared" si="35"/>
        <v>100</v>
      </c>
    </row>
    <row r="181" spans="1:7" ht="14.25" x14ac:dyDescent="0.2">
      <c r="A181" s="29">
        <f t="shared" si="31"/>
        <v>46260</v>
      </c>
      <c r="B181" s="35">
        <f t="shared" ref="B181:B244" si="36">+IF(B180+1&gt;=$C$5*1.2,$C$5*1.2,B180+1)</f>
        <v>52.829568788501028</v>
      </c>
      <c r="C181" s="36">
        <f t="shared" si="32"/>
        <v>120</v>
      </c>
      <c r="D181" s="37">
        <f>IF(C181&lt;=0,0,IF((Coefficients!$C$2+Coefficients!$C$4*C181+Coefficients!$C$6*C181^2+Coefficients!$C$8*C181^3+Coefficients!$C$10*C181^4)/(1+Coefficients!$C$3*C181+Coefficients!$C$5*C181^2+Coefficients!$C$7*C181^3+Coefficients!$C$9*C181^4+Coefficients!$C$11*C181^5)&gt;=100,100,(Coefficients!$C$2+Coefficients!$C$4*C181+Coefficients!$C$6*C181^2+Coefficients!$C$8*C181^3+Coefficients!$C$10*C181^4)/(1+Coefficients!$C$3*C181+Coefficients!$C$5*C181^2+Coefficients!$C$7*C181^3+Coefficients!$C$9*C181^4+Coefficients!$C$11*C181^5)))</f>
        <v>100</v>
      </c>
      <c r="E181" s="38">
        <f t="shared" si="33"/>
        <v>0</v>
      </c>
      <c r="F181" s="39">
        <f t="shared" si="34"/>
        <v>0</v>
      </c>
      <c r="G181" s="75">
        <f t="shared" si="35"/>
        <v>100</v>
      </c>
    </row>
    <row r="182" spans="1:7" ht="14.25" x14ac:dyDescent="0.2">
      <c r="A182" s="29">
        <f t="shared" si="31"/>
        <v>46260</v>
      </c>
      <c r="B182" s="35">
        <f t="shared" si="36"/>
        <v>52.829568788501028</v>
      </c>
      <c r="C182" s="36">
        <f t="shared" si="32"/>
        <v>120</v>
      </c>
      <c r="D182" s="37">
        <f>IF(C182&lt;=0,0,IF((Coefficients!$C$2+Coefficients!$C$4*C182+Coefficients!$C$6*C182^2+Coefficients!$C$8*C182^3+Coefficients!$C$10*C182^4)/(1+Coefficients!$C$3*C182+Coefficients!$C$5*C182^2+Coefficients!$C$7*C182^3+Coefficients!$C$9*C182^4+Coefficients!$C$11*C182^5)&gt;=100,100,(Coefficients!$C$2+Coefficients!$C$4*C182+Coefficients!$C$6*C182^2+Coefficients!$C$8*C182^3+Coefficients!$C$10*C182^4)/(1+Coefficients!$C$3*C182+Coefficients!$C$5*C182^2+Coefficients!$C$7*C182^3+Coefficients!$C$9*C182^4+Coefficients!$C$11*C182^5)))</f>
        <v>100</v>
      </c>
      <c r="E182" s="38">
        <f t="shared" si="33"/>
        <v>0</v>
      </c>
      <c r="F182" s="39">
        <f t="shared" si="34"/>
        <v>0</v>
      </c>
      <c r="G182" s="75">
        <f t="shared" si="35"/>
        <v>100</v>
      </c>
    </row>
    <row r="183" spans="1:7" ht="14.25" x14ac:dyDescent="0.2">
      <c r="A183" s="29">
        <f t="shared" si="31"/>
        <v>46260</v>
      </c>
      <c r="B183" s="35">
        <f t="shared" si="36"/>
        <v>52.829568788501028</v>
      </c>
      <c r="C183" s="36">
        <f t="shared" si="32"/>
        <v>120</v>
      </c>
      <c r="D183" s="37">
        <f>IF(C183&lt;=0,0,IF((Coefficients!$C$2+Coefficients!$C$4*C183+Coefficients!$C$6*C183^2+Coefficients!$C$8*C183^3+Coefficients!$C$10*C183^4)/(1+Coefficients!$C$3*C183+Coefficients!$C$5*C183^2+Coefficients!$C$7*C183^3+Coefficients!$C$9*C183^4+Coefficients!$C$11*C183^5)&gt;=100,100,(Coefficients!$C$2+Coefficients!$C$4*C183+Coefficients!$C$6*C183^2+Coefficients!$C$8*C183^3+Coefficients!$C$10*C183^4)/(1+Coefficients!$C$3*C183+Coefficients!$C$5*C183^2+Coefficients!$C$7*C183^3+Coefficients!$C$9*C183^4+Coefficients!$C$11*C183^5)))</f>
        <v>100</v>
      </c>
      <c r="E183" s="38">
        <f t="shared" si="33"/>
        <v>0</v>
      </c>
      <c r="F183" s="39">
        <f t="shared" si="34"/>
        <v>0</v>
      </c>
      <c r="G183" s="75">
        <f t="shared" si="35"/>
        <v>100</v>
      </c>
    </row>
    <row r="184" spans="1:7" ht="14.25" x14ac:dyDescent="0.2">
      <c r="A184" s="29">
        <f t="shared" si="31"/>
        <v>46260</v>
      </c>
      <c r="B184" s="35">
        <f t="shared" si="36"/>
        <v>52.829568788501028</v>
      </c>
      <c r="C184" s="36">
        <f t="shared" si="32"/>
        <v>120</v>
      </c>
      <c r="D184" s="37">
        <f>IF(C184&lt;=0,0,IF((Coefficients!$C$2+Coefficients!$C$4*C184+Coefficients!$C$6*C184^2+Coefficients!$C$8*C184^3+Coefficients!$C$10*C184^4)/(1+Coefficients!$C$3*C184+Coefficients!$C$5*C184^2+Coefficients!$C$7*C184^3+Coefficients!$C$9*C184^4+Coefficients!$C$11*C184^5)&gt;=100,100,(Coefficients!$C$2+Coefficients!$C$4*C184+Coefficients!$C$6*C184^2+Coefficients!$C$8*C184^3+Coefficients!$C$10*C184^4)/(1+Coefficients!$C$3*C184+Coefficients!$C$5*C184^2+Coefficients!$C$7*C184^3+Coefficients!$C$9*C184^4+Coefficients!$C$11*C184^5)))</f>
        <v>100</v>
      </c>
      <c r="E184" s="38">
        <f t="shared" si="33"/>
        <v>0</v>
      </c>
      <c r="F184" s="39">
        <f t="shared" si="34"/>
        <v>0</v>
      </c>
      <c r="G184" s="75">
        <f t="shared" si="35"/>
        <v>100</v>
      </c>
    </row>
    <row r="185" spans="1:7" ht="14.25" x14ac:dyDescent="0.2">
      <c r="A185" s="29">
        <f t="shared" si="31"/>
        <v>46260</v>
      </c>
      <c r="B185" s="35">
        <f t="shared" si="36"/>
        <v>52.829568788501028</v>
      </c>
      <c r="C185" s="36">
        <f t="shared" si="32"/>
        <v>120</v>
      </c>
      <c r="D185" s="37">
        <f>IF(C185&lt;=0,0,IF((Coefficients!$C$2+Coefficients!$C$4*C185+Coefficients!$C$6*C185^2+Coefficients!$C$8*C185^3+Coefficients!$C$10*C185^4)/(1+Coefficients!$C$3*C185+Coefficients!$C$5*C185^2+Coefficients!$C$7*C185^3+Coefficients!$C$9*C185^4+Coefficients!$C$11*C185^5)&gt;=100,100,(Coefficients!$C$2+Coefficients!$C$4*C185+Coefficients!$C$6*C185^2+Coefficients!$C$8*C185^3+Coefficients!$C$10*C185^4)/(1+Coefficients!$C$3*C185+Coefficients!$C$5*C185^2+Coefficients!$C$7*C185^3+Coefficients!$C$9*C185^4+Coefficients!$C$11*C185^5)))</f>
        <v>100</v>
      </c>
      <c r="E185" s="38">
        <f t="shared" si="33"/>
        <v>0</v>
      </c>
      <c r="F185" s="39">
        <f t="shared" si="34"/>
        <v>0</v>
      </c>
      <c r="G185" s="75">
        <f t="shared" si="35"/>
        <v>100</v>
      </c>
    </row>
    <row r="186" spans="1:7" ht="14.25" x14ac:dyDescent="0.2">
      <c r="A186" s="29">
        <f t="shared" si="31"/>
        <v>46260</v>
      </c>
      <c r="B186" s="35">
        <f t="shared" si="36"/>
        <v>52.829568788501028</v>
      </c>
      <c r="C186" s="36">
        <f t="shared" si="32"/>
        <v>120</v>
      </c>
      <c r="D186" s="37">
        <f>IF(C186&lt;=0,0,IF((Coefficients!$C$2+Coefficients!$C$4*C186+Coefficients!$C$6*C186^2+Coefficients!$C$8*C186^3+Coefficients!$C$10*C186^4)/(1+Coefficients!$C$3*C186+Coefficients!$C$5*C186^2+Coefficients!$C$7*C186^3+Coefficients!$C$9*C186^4+Coefficients!$C$11*C186^5)&gt;=100,100,(Coefficients!$C$2+Coefficients!$C$4*C186+Coefficients!$C$6*C186^2+Coefficients!$C$8*C186^3+Coefficients!$C$10*C186^4)/(1+Coefficients!$C$3*C186+Coefficients!$C$5*C186^2+Coefficients!$C$7*C186^3+Coefficients!$C$9*C186^4+Coefficients!$C$11*C186^5)))</f>
        <v>100</v>
      </c>
      <c r="E186" s="38">
        <f t="shared" si="33"/>
        <v>0</v>
      </c>
      <c r="F186" s="39">
        <f t="shared" si="34"/>
        <v>0</v>
      </c>
      <c r="G186" s="75">
        <f t="shared" si="35"/>
        <v>100</v>
      </c>
    </row>
    <row r="187" spans="1:7" ht="14.25" x14ac:dyDescent="0.2">
      <c r="A187" s="29">
        <f t="shared" si="31"/>
        <v>46260</v>
      </c>
      <c r="B187" s="35">
        <f t="shared" si="36"/>
        <v>52.829568788501028</v>
      </c>
      <c r="C187" s="36">
        <f t="shared" si="32"/>
        <v>120</v>
      </c>
      <c r="D187" s="37">
        <f>IF(C187&lt;=0,0,IF((Coefficients!$C$2+Coefficients!$C$4*C187+Coefficients!$C$6*C187^2+Coefficients!$C$8*C187^3+Coefficients!$C$10*C187^4)/(1+Coefficients!$C$3*C187+Coefficients!$C$5*C187^2+Coefficients!$C$7*C187^3+Coefficients!$C$9*C187^4+Coefficients!$C$11*C187^5)&gt;=100,100,(Coefficients!$C$2+Coefficients!$C$4*C187+Coefficients!$C$6*C187^2+Coefficients!$C$8*C187^3+Coefficients!$C$10*C187^4)/(1+Coefficients!$C$3*C187+Coefficients!$C$5*C187^2+Coefficients!$C$7*C187^3+Coefficients!$C$9*C187^4+Coefficients!$C$11*C187^5)))</f>
        <v>100</v>
      </c>
      <c r="E187" s="38">
        <f t="shared" si="33"/>
        <v>0</v>
      </c>
      <c r="F187" s="39">
        <f t="shared" si="34"/>
        <v>0</v>
      </c>
      <c r="G187" s="75">
        <f t="shared" si="35"/>
        <v>100</v>
      </c>
    </row>
    <row r="188" spans="1:7" ht="14.25" x14ac:dyDescent="0.2">
      <c r="A188" s="29">
        <f t="shared" si="31"/>
        <v>46260</v>
      </c>
      <c r="B188" s="35">
        <f t="shared" si="36"/>
        <v>52.829568788501028</v>
      </c>
      <c r="C188" s="36">
        <f t="shared" si="32"/>
        <v>120</v>
      </c>
      <c r="D188" s="37">
        <f>IF(C188&lt;=0,0,IF((Coefficients!$C$2+Coefficients!$C$4*C188+Coefficients!$C$6*C188^2+Coefficients!$C$8*C188^3+Coefficients!$C$10*C188^4)/(1+Coefficients!$C$3*C188+Coefficients!$C$5*C188^2+Coefficients!$C$7*C188^3+Coefficients!$C$9*C188^4+Coefficients!$C$11*C188^5)&gt;=100,100,(Coefficients!$C$2+Coefficients!$C$4*C188+Coefficients!$C$6*C188^2+Coefficients!$C$8*C188^3+Coefficients!$C$10*C188^4)/(1+Coefficients!$C$3*C188+Coefficients!$C$5*C188^2+Coefficients!$C$7*C188^3+Coefficients!$C$9*C188^4+Coefficients!$C$11*C188^5)))</f>
        <v>100</v>
      </c>
      <c r="E188" s="38">
        <f t="shared" si="33"/>
        <v>0</v>
      </c>
      <c r="F188" s="39">
        <f t="shared" si="34"/>
        <v>0</v>
      </c>
      <c r="G188" s="75">
        <f t="shared" si="35"/>
        <v>100</v>
      </c>
    </row>
    <row r="189" spans="1:7" ht="14.25" x14ac:dyDescent="0.2">
      <c r="A189" s="29">
        <f t="shared" si="31"/>
        <v>46260</v>
      </c>
      <c r="B189" s="35">
        <f t="shared" si="36"/>
        <v>52.829568788501028</v>
      </c>
      <c r="C189" s="36">
        <f t="shared" si="32"/>
        <v>120</v>
      </c>
      <c r="D189" s="37">
        <f>IF(C189&lt;=0,0,IF((Coefficients!$C$2+Coefficients!$C$4*C189+Coefficients!$C$6*C189^2+Coefficients!$C$8*C189^3+Coefficients!$C$10*C189^4)/(1+Coefficients!$C$3*C189+Coefficients!$C$5*C189^2+Coefficients!$C$7*C189^3+Coefficients!$C$9*C189^4+Coefficients!$C$11*C189^5)&gt;=100,100,(Coefficients!$C$2+Coefficients!$C$4*C189+Coefficients!$C$6*C189^2+Coefficients!$C$8*C189^3+Coefficients!$C$10*C189^4)/(1+Coefficients!$C$3*C189+Coefficients!$C$5*C189^2+Coefficients!$C$7*C189^3+Coefficients!$C$9*C189^4+Coefficients!$C$11*C189^5)))</f>
        <v>100</v>
      </c>
      <c r="E189" s="38">
        <f t="shared" si="33"/>
        <v>0</v>
      </c>
      <c r="F189" s="39">
        <f t="shared" si="34"/>
        <v>0</v>
      </c>
      <c r="G189" s="75">
        <f t="shared" si="35"/>
        <v>100</v>
      </c>
    </row>
    <row r="190" spans="1:7" ht="14.25" x14ac:dyDescent="0.2">
      <c r="A190" s="29">
        <f t="shared" si="31"/>
        <v>46260</v>
      </c>
      <c r="B190" s="35">
        <f t="shared" si="36"/>
        <v>52.829568788501028</v>
      </c>
      <c r="C190" s="36">
        <f t="shared" si="32"/>
        <v>120</v>
      </c>
      <c r="D190" s="37">
        <f>IF(C190&lt;=0,0,IF((Coefficients!$C$2+Coefficients!$C$4*C190+Coefficients!$C$6*C190^2+Coefficients!$C$8*C190^3+Coefficients!$C$10*C190^4)/(1+Coefficients!$C$3*C190+Coefficients!$C$5*C190^2+Coefficients!$C$7*C190^3+Coefficients!$C$9*C190^4+Coefficients!$C$11*C190^5)&gt;=100,100,(Coefficients!$C$2+Coefficients!$C$4*C190+Coefficients!$C$6*C190^2+Coefficients!$C$8*C190^3+Coefficients!$C$10*C190^4)/(1+Coefficients!$C$3*C190+Coefficients!$C$5*C190^2+Coefficients!$C$7*C190^3+Coefficients!$C$9*C190^4+Coefficients!$C$11*C190^5)))</f>
        <v>100</v>
      </c>
      <c r="E190" s="38">
        <f t="shared" si="33"/>
        <v>0</v>
      </c>
      <c r="F190" s="39">
        <f t="shared" si="34"/>
        <v>0</v>
      </c>
      <c r="G190" s="75">
        <f t="shared" si="35"/>
        <v>100</v>
      </c>
    </row>
    <row r="191" spans="1:7" ht="14.25" x14ac:dyDescent="0.2">
      <c r="A191" s="29">
        <f t="shared" si="31"/>
        <v>46260</v>
      </c>
      <c r="B191" s="35">
        <f t="shared" si="36"/>
        <v>52.829568788501028</v>
      </c>
      <c r="C191" s="36">
        <f t="shared" si="32"/>
        <v>120</v>
      </c>
      <c r="D191" s="37">
        <f>IF(C191&lt;=0,0,IF((Coefficients!$C$2+Coefficients!$C$4*C191+Coefficients!$C$6*C191^2+Coefficients!$C$8*C191^3+Coefficients!$C$10*C191^4)/(1+Coefficients!$C$3*C191+Coefficients!$C$5*C191^2+Coefficients!$C$7*C191^3+Coefficients!$C$9*C191^4+Coefficients!$C$11*C191^5)&gt;=100,100,(Coefficients!$C$2+Coefficients!$C$4*C191+Coefficients!$C$6*C191^2+Coefficients!$C$8*C191^3+Coefficients!$C$10*C191^4)/(1+Coefficients!$C$3*C191+Coefficients!$C$5*C191^2+Coefficients!$C$7*C191^3+Coefficients!$C$9*C191^4+Coefficients!$C$11*C191^5)))</f>
        <v>100</v>
      </c>
      <c r="E191" s="38">
        <f t="shared" si="33"/>
        <v>0</v>
      </c>
      <c r="F191" s="39">
        <f t="shared" si="34"/>
        <v>0</v>
      </c>
      <c r="G191" s="75">
        <f t="shared" si="35"/>
        <v>100</v>
      </c>
    </row>
    <row r="192" spans="1:7" ht="14.25" x14ac:dyDescent="0.2">
      <c r="A192" s="29">
        <f t="shared" si="31"/>
        <v>46260</v>
      </c>
      <c r="B192" s="35">
        <f t="shared" si="36"/>
        <v>52.829568788501028</v>
      </c>
      <c r="C192" s="36">
        <f t="shared" si="32"/>
        <v>120</v>
      </c>
      <c r="D192" s="37">
        <f>IF(C192&lt;=0,0,IF((Coefficients!$C$2+Coefficients!$C$4*C192+Coefficients!$C$6*C192^2+Coefficients!$C$8*C192^3+Coefficients!$C$10*C192^4)/(1+Coefficients!$C$3*C192+Coefficients!$C$5*C192^2+Coefficients!$C$7*C192^3+Coefficients!$C$9*C192^4+Coefficients!$C$11*C192^5)&gt;=100,100,(Coefficients!$C$2+Coefficients!$C$4*C192+Coefficients!$C$6*C192^2+Coefficients!$C$8*C192^3+Coefficients!$C$10*C192^4)/(1+Coefficients!$C$3*C192+Coefficients!$C$5*C192^2+Coefficients!$C$7*C192^3+Coefficients!$C$9*C192^4+Coefficients!$C$11*C192^5)))</f>
        <v>100</v>
      </c>
      <c r="E192" s="38">
        <f t="shared" si="33"/>
        <v>0</v>
      </c>
      <c r="F192" s="39">
        <f t="shared" si="34"/>
        <v>0</v>
      </c>
      <c r="G192" s="75">
        <f t="shared" si="35"/>
        <v>100</v>
      </c>
    </row>
    <row r="193" spans="1:7" ht="14.25" x14ac:dyDescent="0.2">
      <c r="A193" s="29">
        <f t="shared" si="31"/>
        <v>46260</v>
      </c>
      <c r="B193" s="35">
        <f t="shared" si="36"/>
        <v>52.829568788501028</v>
      </c>
      <c r="C193" s="36">
        <f t="shared" si="32"/>
        <v>120</v>
      </c>
      <c r="D193" s="37">
        <f>IF(C193&lt;=0,0,IF((Coefficients!$C$2+Coefficients!$C$4*C193+Coefficients!$C$6*C193^2+Coefficients!$C$8*C193^3+Coefficients!$C$10*C193^4)/(1+Coefficients!$C$3*C193+Coefficients!$C$5*C193^2+Coefficients!$C$7*C193^3+Coefficients!$C$9*C193^4+Coefficients!$C$11*C193^5)&gt;=100,100,(Coefficients!$C$2+Coefficients!$C$4*C193+Coefficients!$C$6*C193^2+Coefficients!$C$8*C193^3+Coefficients!$C$10*C193^4)/(1+Coefficients!$C$3*C193+Coefficients!$C$5*C193^2+Coefficients!$C$7*C193^3+Coefficients!$C$9*C193^4+Coefficients!$C$11*C193^5)))</f>
        <v>100</v>
      </c>
      <c r="E193" s="38">
        <f t="shared" si="33"/>
        <v>0</v>
      </c>
      <c r="F193" s="39">
        <f t="shared" si="34"/>
        <v>0</v>
      </c>
      <c r="G193" s="75">
        <f t="shared" si="35"/>
        <v>100</v>
      </c>
    </row>
    <row r="194" spans="1:7" ht="14.25" x14ac:dyDescent="0.2">
      <c r="A194" s="29">
        <f t="shared" si="31"/>
        <v>46260</v>
      </c>
      <c r="B194" s="35">
        <f t="shared" si="36"/>
        <v>52.829568788501028</v>
      </c>
      <c r="C194" s="36">
        <f t="shared" si="32"/>
        <v>120</v>
      </c>
      <c r="D194" s="37">
        <f>IF(C194&lt;=0,0,IF((Coefficients!$C$2+Coefficients!$C$4*C194+Coefficients!$C$6*C194^2+Coefficients!$C$8*C194^3+Coefficients!$C$10*C194^4)/(1+Coefficients!$C$3*C194+Coefficients!$C$5*C194^2+Coefficients!$C$7*C194^3+Coefficients!$C$9*C194^4+Coefficients!$C$11*C194^5)&gt;=100,100,(Coefficients!$C$2+Coefficients!$C$4*C194+Coefficients!$C$6*C194^2+Coefficients!$C$8*C194^3+Coefficients!$C$10*C194^4)/(1+Coefficients!$C$3*C194+Coefficients!$C$5*C194^2+Coefficients!$C$7*C194^3+Coefficients!$C$9*C194^4+Coefficients!$C$11*C194^5)))</f>
        <v>100</v>
      </c>
      <c r="E194" s="38">
        <f t="shared" si="33"/>
        <v>0</v>
      </c>
      <c r="F194" s="39">
        <f t="shared" si="34"/>
        <v>0</v>
      </c>
      <c r="G194" s="75">
        <f t="shared" si="35"/>
        <v>100</v>
      </c>
    </row>
    <row r="195" spans="1:7" ht="14.25" x14ac:dyDescent="0.2">
      <c r="A195" s="29">
        <f t="shared" si="31"/>
        <v>46260</v>
      </c>
      <c r="B195" s="35">
        <f t="shared" si="36"/>
        <v>52.829568788501028</v>
      </c>
      <c r="C195" s="36">
        <f t="shared" si="32"/>
        <v>120</v>
      </c>
      <c r="D195" s="37">
        <f>IF(C195&lt;=0,0,IF((Coefficients!$C$2+Coefficients!$C$4*C195+Coefficients!$C$6*C195^2+Coefficients!$C$8*C195^3+Coefficients!$C$10*C195^4)/(1+Coefficients!$C$3*C195+Coefficients!$C$5*C195^2+Coefficients!$C$7*C195^3+Coefficients!$C$9*C195^4+Coefficients!$C$11*C195^5)&gt;=100,100,(Coefficients!$C$2+Coefficients!$C$4*C195+Coefficients!$C$6*C195^2+Coefficients!$C$8*C195^3+Coefficients!$C$10*C195^4)/(1+Coefficients!$C$3*C195+Coefficients!$C$5*C195^2+Coefficients!$C$7*C195^3+Coefficients!$C$9*C195^4+Coefficients!$C$11*C195^5)))</f>
        <v>100</v>
      </c>
      <c r="E195" s="38">
        <f t="shared" si="33"/>
        <v>0</v>
      </c>
      <c r="F195" s="39">
        <f t="shared" si="34"/>
        <v>0</v>
      </c>
      <c r="G195" s="75">
        <f t="shared" si="35"/>
        <v>100</v>
      </c>
    </row>
    <row r="196" spans="1:7" ht="14.25" x14ac:dyDescent="0.2">
      <c r="A196" s="29">
        <f t="shared" si="31"/>
        <v>46260</v>
      </c>
      <c r="B196" s="35">
        <f t="shared" si="36"/>
        <v>52.829568788501028</v>
      </c>
      <c r="C196" s="36">
        <f t="shared" si="32"/>
        <v>120</v>
      </c>
      <c r="D196" s="37">
        <f>IF(C196&lt;=0,0,IF((Coefficients!$C$2+Coefficients!$C$4*C196+Coefficients!$C$6*C196^2+Coefficients!$C$8*C196^3+Coefficients!$C$10*C196^4)/(1+Coefficients!$C$3*C196+Coefficients!$C$5*C196^2+Coefficients!$C$7*C196^3+Coefficients!$C$9*C196^4+Coefficients!$C$11*C196^5)&gt;=100,100,(Coefficients!$C$2+Coefficients!$C$4*C196+Coefficients!$C$6*C196^2+Coefficients!$C$8*C196^3+Coefficients!$C$10*C196^4)/(1+Coefficients!$C$3*C196+Coefficients!$C$5*C196^2+Coefficients!$C$7*C196^3+Coefficients!$C$9*C196^4+Coefficients!$C$11*C196^5)))</f>
        <v>100</v>
      </c>
      <c r="E196" s="38">
        <f t="shared" si="33"/>
        <v>0</v>
      </c>
      <c r="F196" s="39">
        <f t="shared" si="34"/>
        <v>0</v>
      </c>
      <c r="G196" s="75">
        <f t="shared" si="35"/>
        <v>100</v>
      </c>
    </row>
    <row r="197" spans="1:7" ht="14.25" x14ac:dyDescent="0.2">
      <c r="A197" s="29">
        <f t="shared" si="31"/>
        <v>46260</v>
      </c>
      <c r="B197" s="35">
        <f t="shared" si="36"/>
        <v>52.829568788501028</v>
      </c>
      <c r="C197" s="36">
        <f t="shared" si="32"/>
        <v>120</v>
      </c>
      <c r="D197" s="37">
        <f>IF(C197&lt;=0,0,IF((Coefficients!$C$2+Coefficients!$C$4*C197+Coefficients!$C$6*C197^2+Coefficients!$C$8*C197^3+Coefficients!$C$10*C197^4)/(1+Coefficients!$C$3*C197+Coefficients!$C$5*C197^2+Coefficients!$C$7*C197^3+Coefficients!$C$9*C197^4+Coefficients!$C$11*C197^5)&gt;=100,100,(Coefficients!$C$2+Coefficients!$C$4*C197+Coefficients!$C$6*C197^2+Coefficients!$C$8*C197^3+Coefficients!$C$10*C197^4)/(1+Coefficients!$C$3*C197+Coefficients!$C$5*C197^2+Coefficients!$C$7*C197^3+Coefficients!$C$9*C197^4+Coefficients!$C$11*C197^5)))</f>
        <v>100</v>
      </c>
      <c r="E197" s="38">
        <f t="shared" si="33"/>
        <v>0</v>
      </c>
      <c r="F197" s="39">
        <f t="shared" si="34"/>
        <v>0</v>
      </c>
      <c r="G197" s="75">
        <f t="shared" si="35"/>
        <v>100</v>
      </c>
    </row>
    <row r="198" spans="1:7" ht="14.25" x14ac:dyDescent="0.2">
      <c r="A198" s="29">
        <f t="shared" si="31"/>
        <v>46260</v>
      </c>
      <c r="B198" s="35">
        <f t="shared" si="36"/>
        <v>52.829568788501028</v>
      </c>
      <c r="C198" s="36">
        <f t="shared" si="32"/>
        <v>120</v>
      </c>
      <c r="D198" s="37">
        <f>IF(C198&lt;=0,0,IF((Coefficients!$C$2+Coefficients!$C$4*C198+Coefficients!$C$6*C198^2+Coefficients!$C$8*C198^3+Coefficients!$C$10*C198^4)/(1+Coefficients!$C$3*C198+Coefficients!$C$5*C198^2+Coefficients!$C$7*C198^3+Coefficients!$C$9*C198^4+Coefficients!$C$11*C198^5)&gt;=100,100,(Coefficients!$C$2+Coefficients!$C$4*C198+Coefficients!$C$6*C198^2+Coefficients!$C$8*C198^3+Coefficients!$C$10*C198^4)/(1+Coefficients!$C$3*C198+Coefficients!$C$5*C198^2+Coefficients!$C$7*C198^3+Coefficients!$C$9*C198^4+Coefficients!$C$11*C198^5)))</f>
        <v>100</v>
      </c>
      <c r="E198" s="38">
        <f t="shared" si="33"/>
        <v>0</v>
      </c>
      <c r="F198" s="39">
        <f t="shared" si="34"/>
        <v>0</v>
      </c>
      <c r="G198" s="75">
        <f t="shared" si="35"/>
        <v>100</v>
      </c>
    </row>
    <row r="199" spans="1:7" ht="14.25" x14ac:dyDescent="0.2">
      <c r="A199" s="29">
        <f t="shared" si="31"/>
        <v>46260</v>
      </c>
      <c r="B199" s="35">
        <f t="shared" si="36"/>
        <v>52.829568788501028</v>
      </c>
      <c r="C199" s="36">
        <f t="shared" si="32"/>
        <v>120</v>
      </c>
      <c r="D199" s="37">
        <f>IF(C199&lt;=0,0,IF((Coefficients!$C$2+Coefficients!$C$4*C199+Coefficients!$C$6*C199^2+Coefficients!$C$8*C199^3+Coefficients!$C$10*C199^4)/(1+Coefficients!$C$3*C199+Coefficients!$C$5*C199^2+Coefficients!$C$7*C199^3+Coefficients!$C$9*C199^4+Coefficients!$C$11*C199^5)&gt;=100,100,(Coefficients!$C$2+Coefficients!$C$4*C199+Coefficients!$C$6*C199^2+Coefficients!$C$8*C199^3+Coefficients!$C$10*C199^4)/(1+Coefficients!$C$3*C199+Coefficients!$C$5*C199^2+Coefficients!$C$7*C199^3+Coefficients!$C$9*C199^4+Coefficients!$C$11*C199^5)))</f>
        <v>100</v>
      </c>
      <c r="E199" s="38">
        <f t="shared" si="33"/>
        <v>0</v>
      </c>
      <c r="F199" s="39">
        <f t="shared" si="34"/>
        <v>0</v>
      </c>
      <c r="G199" s="75">
        <f t="shared" si="35"/>
        <v>100</v>
      </c>
    </row>
    <row r="200" spans="1:7" ht="14.25" x14ac:dyDescent="0.2">
      <c r="A200" s="29">
        <f t="shared" si="31"/>
        <v>46260</v>
      </c>
      <c r="B200" s="35">
        <f t="shared" si="36"/>
        <v>52.829568788501028</v>
      </c>
      <c r="C200" s="36">
        <f t="shared" si="32"/>
        <v>120</v>
      </c>
      <c r="D200" s="37">
        <f>IF(C200&lt;=0,0,IF((Coefficients!$C$2+Coefficients!$C$4*C200+Coefficients!$C$6*C200^2+Coefficients!$C$8*C200^3+Coefficients!$C$10*C200^4)/(1+Coefficients!$C$3*C200+Coefficients!$C$5*C200^2+Coefficients!$C$7*C200^3+Coefficients!$C$9*C200^4+Coefficients!$C$11*C200^5)&gt;=100,100,(Coefficients!$C$2+Coefficients!$C$4*C200+Coefficients!$C$6*C200^2+Coefficients!$C$8*C200^3+Coefficients!$C$10*C200^4)/(1+Coefficients!$C$3*C200+Coefficients!$C$5*C200^2+Coefficients!$C$7*C200^3+Coefficients!$C$9*C200^4+Coefficients!$C$11*C200^5)))</f>
        <v>100</v>
      </c>
      <c r="E200" s="38">
        <f t="shared" si="33"/>
        <v>0</v>
      </c>
      <c r="F200" s="39">
        <f t="shared" si="34"/>
        <v>0</v>
      </c>
      <c r="G200" s="75">
        <f t="shared" si="35"/>
        <v>100</v>
      </c>
    </row>
    <row r="201" spans="1:7" ht="14.25" x14ac:dyDescent="0.2">
      <c r="A201" s="29">
        <f t="shared" si="31"/>
        <v>46260</v>
      </c>
      <c r="B201" s="35">
        <f t="shared" si="36"/>
        <v>52.829568788501028</v>
      </c>
      <c r="C201" s="36">
        <f t="shared" si="32"/>
        <v>120</v>
      </c>
      <c r="D201" s="37">
        <f>IF(C201&lt;=0,0,IF((Coefficients!$C$2+Coefficients!$C$4*C201+Coefficients!$C$6*C201^2+Coefficients!$C$8*C201^3+Coefficients!$C$10*C201^4)/(1+Coefficients!$C$3*C201+Coefficients!$C$5*C201^2+Coefficients!$C$7*C201^3+Coefficients!$C$9*C201^4+Coefficients!$C$11*C201^5)&gt;=100,100,(Coefficients!$C$2+Coefficients!$C$4*C201+Coefficients!$C$6*C201^2+Coefficients!$C$8*C201^3+Coefficients!$C$10*C201^4)/(1+Coefficients!$C$3*C201+Coefficients!$C$5*C201^2+Coefficients!$C$7*C201^3+Coefficients!$C$9*C201^4+Coefficients!$C$11*C201^5)))</f>
        <v>100</v>
      </c>
      <c r="E201" s="38">
        <f t="shared" si="33"/>
        <v>0</v>
      </c>
      <c r="F201" s="39">
        <f t="shared" si="34"/>
        <v>0</v>
      </c>
      <c r="G201" s="75">
        <f t="shared" si="35"/>
        <v>100</v>
      </c>
    </row>
    <row r="202" spans="1:7" ht="14.25" x14ac:dyDescent="0.2">
      <c r="A202" s="29">
        <f t="shared" ref="A202:A265" si="37">A201+((B202-B201)*365.25/12)</f>
        <v>46260</v>
      </c>
      <c r="B202" s="35">
        <f t="shared" si="36"/>
        <v>52.829568788501028</v>
      </c>
      <c r="C202" s="36">
        <f t="shared" ref="C202:C265" si="38">+B202/$C$5*100</f>
        <v>120</v>
      </c>
      <c r="D202" s="37">
        <f>IF(C202&lt;=0,0,IF((Coefficients!$C$2+Coefficients!$C$4*C202+Coefficients!$C$6*C202^2+Coefficients!$C$8*C202^3+Coefficients!$C$10*C202^4)/(1+Coefficients!$C$3*C202+Coefficients!$C$5*C202^2+Coefficients!$C$7*C202^3+Coefficients!$C$9*C202^4+Coefficients!$C$11*C202^5)&gt;=100,100,(Coefficients!$C$2+Coefficients!$C$4*C202+Coefficients!$C$6*C202^2+Coefficients!$C$8*C202^3+Coefficients!$C$10*C202^4)/(1+Coefficients!$C$3*C202+Coefficients!$C$5*C202^2+Coefficients!$C$7*C202^3+Coefficients!$C$9*C202^4+Coefficients!$C$11*C202^5)))</f>
        <v>100</v>
      </c>
      <c r="E202" s="38">
        <f t="shared" ref="E202:E265" si="39">+D202-D201</f>
        <v>0</v>
      </c>
      <c r="F202" s="39">
        <f t="shared" ref="F202:F265" si="40">$C$6*(E202/100)</f>
        <v>0</v>
      </c>
      <c r="G202" s="75">
        <f t="shared" ref="G202:G265" si="41">IF(D201=100,G201,G201+F202)</f>
        <v>100</v>
      </c>
    </row>
    <row r="203" spans="1:7" ht="14.25" x14ac:dyDescent="0.2">
      <c r="A203" s="29">
        <f t="shared" si="37"/>
        <v>46260</v>
      </c>
      <c r="B203" s="35">
        <f t="shared" si="36"/>
        <v>52.829568788501028</v>
      </c>
      <c r="C203" s="36">
        <f t="shared" si="38"/>
        <v>120</v>
      </c>
      <c r="D203" s="37">
        <f>IF(C203&lt;=0,0,IF((Coefficients!$C$2+Coefficients!$C$4*C203+Coefficients!$C$6*C203^2+Coefficients!$C$8*C203^3+Coefficients!$C$10*C203^4)/(1+Coefficients!$C$3*C203+Coefficients!$C$5*C203^2+Coefficients!$C$7*C203^3+Coefficients!$C$9*C203^4+Coefficients!$C$11*C203^5)&gt;=100,100,(Coefficients!$C$2+Coefficients!$C$4*C203+Coefficients!$C$6*C203^2+Coefficients!$C$8*C203^3+Coefficients!$C$10*C203^4)/(1+Coefficients!$C$3*C203+Coefficients!$C$5*C203^2+Coefficients!$C$7*C203^3+Coefficients!$C$9*C203^4+Coefficients!$C$11*C203^5)))</f>
        <v>100</v>
      </c>
      <c r="E203" s="38">
        <f t="shared" si="39"/>
        <v>0</v>
      </c>
      <c r="F203" s="39">
        <f t="shared" si="40"/>
        <v>0</v>
      </c>
      <c r="G203" s="75">
        <f t="shared" si="41"/>
        <v>100</v>
      </c>
    </row>
    <row r="204" spans="1:7" ht="14.25" x14ac:dyDescent="0.2">
      <c r="A204" s="29">
        <f t="shared" si="37"/>
        <v>46260</v>
      </c>
      <c r="B204" s="35">
        <f t="shared" si="36"/>
        <v>52.829568788501028</v>
      </c>
      <c r="C204" s="36">
        <f t="shared" si="38"/>
        <v>120</v>
      </c>
      <c r="D204" s="37">
        <f>IF(C204&lt;=0,0,IF((Coefficients!$C$2+Coefficients!$C$4*C204+Coefficients!$C$6*C204^2+Coefficients!$C$8*C204^3+Coefficients!$C$10*C204^4)/(1+Coefficients!$C$3*C204+Coefficients!$C$5*C204^2+Coefficients!$C$7*C204^3+Coefficients!$C$9*C204^4+Coefficients!$C$11*C204^5)&gt;=100,100,(Coefficients!$C$2+Coefficients!$C$4*C204+Coefficients!$C$6*C204^2+Coefficients!$C$8*C204^3+Coefficients!$C$10*C204^4)/(1+Coefficients!$C$3*C204+Coefficients!$C$5*C204^2+Coefficients!$C$7*C204^3+Coefficients!$C$9*C204^4+Coefficients!$C$11*C204^5)))</f>
        <v>100</v>
      </c>
      <c r="E204" s="38">
        <f t="shared" si="39"/>
        <v>0</v>
      </c>
      <c r="F204" s="39">
        <f t="shared" si="40"/>
        <v>0</v>
      </c>
      <c r="G204" s="75">
        <f t="shared" si="41"/>
        <v>100</v>
      </c>
    </row>
    <row r="205" spans="1:7" ht="14.25" x14ac:dyDescent="0.2">
      <c r="A205" s="29">
        <f t="shared" si="37"/>
        <v>46260</v>
      </c>
      <c r="B205" s="35">
        <f t="shared" si="36"/>
        <v>52.829568788501028</v>
      </c>
      <c r="C205" s="36">
        <f t="shared" si="38"/>
        <v>120</v>
      </c>
      <c r="D205" s="37">
        <f>IF(C205&lt;=0,0,IF((Coefficients!$C$2+Coefficients!$C$4*C205+Coefficients!$C$6*C205^2+Coefficients!$C$8*C205^3+Coefficients!$C$10*C205^4)/(1+Coefficients!$C$3*C205+Coefficients!$C$5*C205^2+Coefficients!$C$7*C205^3+Coefficients!$C$9*C205^4+Coefficients!$C$11*C205^5)&gt;=100,100,(Coefficients!$C$2+Coefficients!$C$4*C205+Coefficients!$C$6*C205^2+Coefficients!$C$8*C205^3+Coefficients!$C$10*C205^4)/(1+Coefficients!$C$3*C205+Coefficients!$C$5*C205^2+Coefficients!$C$7*C205^3+Coefficients!$C$9*C205^4+Coefficients!$C$11*C205^5)))</f>
        <v>100</v>
      </c>
      <c r="E205" s="38">
        <f t="shared" si="39"/>
        <v>0</v>
      </c>
      <c r="F205" s="39">
        <f t="shared" si="40"/>
        <v>0</v>
      </c>
      <c r="G205" s="75">
        <f t="shared" si="41"/>
        <v>100</v>
      </c>
    </row>
    <row r="206" spans="1:7" ht="14.25" x14ac:dyDescent="0.2">
      <c r="A206" s="29">
        <f t="shared" si="37"/>
        <v>46260</v>
      </c>
      <c r="B206" s="35">
        <f t="shared" si="36"/>
        <v>52.829568788501028</v>
      </c>
      <c r="C206" s="36">
        <f t="shared" si="38"/>
        <v>120</v>
      </c>
      <c r="D206" s="37">
        <f>IF(C206&lt;=0,0,IF((Coefficients!$C$2+Coefficients!$C$4*C206+Coefficients!$C$6*C206^2+Coefficients!$C$8*C206^3+Coefficients!$C$10*C206^4)/(1+Coefficients!$C$3*C206+Coefficients!$C$5*C206^2+Coefficients!$C$7*C206^3+Coefficients!$C$9*C206^4+Coefficients!$C$11*C206^5)&gt;=100,100,(Coefficients!$C$2+Coefficients!$C$4*C206+Coefficients!$C$6*C206^2+Coefficients!$C$8*C206^3+Coefficients!$C$10*C206^4)/(1+Coefficients!$C$3*C206+Coefficients!$C$5*C206^2+Coefficients!$C$7*C206^3+Coefficients!$C$9*C206^4+Coefficients!$C$11*C206^5)))</f>
        <v>100</v>
      </c>
      <c r="E206" s="38">
        <f t="shared" si="39"/>
        <v>0</v>
      </c>
      <c r="F206" s="39">
        <f t="shared" si="40"/>
        <v>0</v>
      </c>
      <c r="G206" s="75">
        <f t="shared" si="41"/>
        <v>100</v>
      </c>
    </row>
    <row r="207" spans="1:7" ht="14.25" x14ac:dyDescent="0.2">
      <c r="A207" s="29">
        <f t="shared" si="37"/>
        <v>46260</v>
      </c>
      <c r="B207" s="35">
        <f t="shared" si="36"/>
        <v>52.829568788501028</v>
      </c>
      <c r="C207" s="36">
        <f t="shared" si="38"/>
        <v>120</v>
      </c>
      <c r="D207" s="37">
        <f>IF(C207&lt;=0,0,IF((Coefficients!$C$2+Coefficients!$C$4*C207+Coefficients!$C$6*C207^2+Coefficients!$C$8*C207^3+Coefficients!$C$10*C207^4)/(1+Coefficients!$C$3*C207+Coefficients!$C$5*C207^2+Coefficients!$C$7*C207^3+Coefficients!$C$9*C207^4+Coefficients!$C$11*C207^5)&gt;=100,100,(Coefficients!$C$2+Coefficients!$C$4*C207+Coefficients!$C$6*C207^2+Coefficients!$C$8*C207^3+Coefficients!$C$10*C207^4)/(1+Coefficients!$C$3*C207+Coefficients!$C$5*C207^2+Coefficients!$C$7*C207^3+Coefficients!$C$9*C207^4+Coefficients!$C$11*C207^5)))</f>
        <v>100</v>
      </c>
      <c r="E207" s="38">
        <f t="shared" si="39"/>
        <v>0</v>
      </c>
      <c r="F207" s="39">
        <f t="shared" si="40"/>
        <v>0</v>
      </c>
      <c r="G207" s="75">
        <f t="shared" si="41"/>
        <v>100</v>
      </c>
    </row>
    <row r="208" spans="1:7" ht="14.25" x14ac:dyDescent="0.2">
      <c r="A208" s="29">
        <f t="shared" si="37"/>
        <v>46260</v>
      </c>
      <c r="B208" s="35">
        <f t="shared" si="36"/>
        <v>52.829568788501028</v>
      </c>
      <c r="C208" s="36">
        <f t="shared" si="38"/>
        <v>120</v>
      </c>
      <c r="D208" s="37">
        <f>IF(C208&lt;=0,0,IF((Coefficients!$C$2+Coefficients!$C$4*C208+Coefficients!$C$6*C208^2+Coefficients!$C$8*C208^3+Coefficients!$C$10*C208^4)/(1+Coefficients!$C$3*C208+Coefficients!$C$5*C208^2+Coefficients!$C$7*C208^3+Coefficients!$C$9*C208^4+Coefficients!$C$11*C208^5)&gt;=100,100,(Coefficients!$C$2+Coefficients!$C$4*C208+Coefficients!$C$6*C208^2+Coefficients!$C$8*C208^3+Coefficients!$C$10*C208^4)/(1+Coefficients!$C$3*C208+Coefficients!$C$5*C208^2+Coefficients!$C$7*C208^3+Coefficients!$C$9*C208^4+Coefficients!$C$11*C208^5)))</f>
        <v>100</v>
      </c>
      <c r="E208" s="38">
        <f t="shared" si="39"/>
        <v>0</v>
      </c>
      <c r="F208" s="39">
        <f t="shared" si="40"/>
        <v>0</v>
      </c>
      <c r="G208" s="75">
        <f t="shared" si="41"/>
        <v>100</v>
      </c>
    </row>
    <row r="209" spans="1:7" ht="14.25" x14ac:dyDescent="0.2">
      <c r="A209" s="29">
        <f t="shared" si="37"/>
        <v>46260</v>
      </c>
      <c r="B209" s="35">
        <f t="shared" si="36"/>
        <v>52.829568788501028</v>
      </c>
      <c r="C209" s="36">
        <f t="shared" si="38"/>
        <v>120</v>
      </c>
      <c r="D209" s="37">
        <f>IF(C209&lt;=0,0,IF((Coefficients!$C$2+Coefficients!$C$4*C209+Coefficients!$C$6*C209^2+Coefficients!$C$8*C209^3+Coefficients!$C$10*C209^4)/(1+Coefficients!$C$3*C209+Coefficients!$C$5*C209^2+Coefficients!$C$7*C209^3+Coefficients!$C$9*C209^4+Coefficients!$C$11*C209^5)&gt;=100,100,(Coefficients!$C$2+Coefficients!$C$4*C209+Coefficients!$C$6*C209^2+Coefficients!$C$8*C209^3+Coefficients!$C$10*C209^4)/(1+Coefficients!$C$3*C209+Coefficients!$C$5*C209^2+Coefficients!$C$7*C209^3+Coefficients!$C$9*C209^4+Coefficients!$C$11*C209^5)))</f>
        <v>100</v>
      </c>
      <c r="E209" s="38">
        <f t="shared" si="39"/>
        <v>0</v>
      </c>
      <c r="F209" s="39">
        <f t="shared" si="40"/>
        <v>0</v>
      </c>
      <c r="G209" s="75">
        <f t="shared" si="41"/>
        <v>100</v>
      </c>
    </row>
    <row r="210" spans="1:7" ht="14.25" x14ac:dyDescent="0.2">
      <c r="A210" s="29">
        <f t="shared" si="37"/>
        <v>46260</v>
      </c>
      <c r="B210" s="35">
        <f t="shared" si="36"/>
        <v>52.829568788501028</v>
      </c>
      <c r="C210" s="36">
        <f t="shared" si="38"/>
        <v>120</v>
      </c>
      <c r="D210" s="37">
        <f>IF(C210&lt;=0,0,IF((Coefficients!$C$2+Coefficients!$C$4*C210+Coefficients!$C$6*C210^2+Coefficients!$C$8*C210^3+Coefficients!$C$10*C210^4)/(1+Coefficients!$C$3*C210+Coefficients!$C$5*C210^2+Coefficients!$C$7*C210^3+Coefficients!$C$9*C210^4+Coefficients!$C$11*C210^5)&gt;=100,100,(Coefficients!$C$2+Coefficients!$C$4*C210+Coefficients!$C$6*C210^2+Coefficients!$C$8*C210^3+Coefficients!$C$10*C210^4)/(1+Coefficients!$C$3*C210+Coefficients!$C$5*C210^2+Coefficients!$C$7*C210^3+Coefficients!$C$9*C210^4+Coefficients!$C$11*C210^5)))</f>
        <v>100</v>
      </c>
      <c r="E210" s="38">
        <f t="shared" si="39"/>
        <v>0</v>
      </c>
      <c r="F210" s="39">
        <f t="shared" si="40"/>
        <v>0</v>
      </c>
      <c r="G210" s="75">
        <f t="shared" si="41"/>
        <v>100</v>
      </c>
    </row>
    <row r="211" spans="1:7" ht="14.25" x14ac:dyDescent="0.2">
      <c r="A211" s="29">
        <f t="shared" si="37"/>
        <v>46260</v>
      </c>
      <c r="B211" s="35">
        <f t="shared" si="36"/>
        <v>52.829568788501028</v>
      </c>
      <c r="C211" s="36">
        <f t="shared" si="38"/>
        <v>120</v>
      </c>
      <c r="D211" s="37">
        <f>IF(C211&lt;=0,0,IF((Coefficients!$C$2+Coefficients!$C$4*C211+Coefficients!$C$6*C211^2+Coefficients!$C$8*C211^3+Coefficients!$C$10*C211^4)/(1+Coefficients!$C$3*C211+Coefficients!$C$5*C211^2+Coefficients!$C$7*C211^3+Coefficients!$C$9*C211^4+Coefficients!$C$11*C211^5)&gt;=100,100,(Coefficients!$C$2+Coefficients!$C$4*C211+Coefficients!$C$6*C211^2+Coefficients!$C$8*C211^3+Coefficients!$C$10*C211^4)/(1+Coefficients!$C$3*C211+Coefficients!$C$5*C211^2+Coefficients!$C$7*C211^3+Coefficients!$C$9*C211^4+Coefficients!$C$11*C211^5)))</f>
        <v>100</v>
      </c>
      <c r="E211" s="38">
        <f t="shared" si="39"/>
        <v>0</v>
      </c>
      <c r="F211" s="39">
        <f t="shared" si="40"/>
        <v>0</v>
      </c>
      <c r="G211" s="75">
        <f t="shared" si="41"/>
        <v>100</v>
      </c>
    </row>
    <row r="212" spans="1:7" ht="14.25" x14ac:dyDescent="0.2">
      <c r="A212" s="29">
        <f t="shared" si="37"/>
        <v>46260</v>
      </c>
      <c r="B212" s="35">
        <f t="shared" si="36"/>
        <v>52.829568788501028</v>
      </c>
      <c r="C212" s="36">
        <f t="shared" si="38"/>
        <v>120</v>
      </c>
      <c r="D212" s="37">
        <f>IF(C212&lt;=0,0,IF((Coefficients!$C$2+Coefficients!$C$4*C212+Coefficients!$C$6*C212^2+Coefficients!$C$8*C212^3+Coefficients!$C$10*C212^4)/(1+Coefficients!$C$3*C212+Coefficients!$C$5*C212^2+Coefficients!$C$7*C212^3+Coefficients!$C$9*C212^4+Coefficients!$C$11*C212^5)&gt;=100,100,(Coefficients!$C$2+Coefficients!$C$4*C212+Coefficients!$C$6*C212^2+Coefficients!$C$8*C212^3+Coefficients!$C$10*C212^4)/(1+Coefficients!$C$3*C212+Coefficients!$C$5*C212^2+Coefficients!$C$7*C212^3+Coefficients!$C$9*C212^4+Coefficients!$C$11*C212^5)))</f>
        <v>100</v>
      </c>
      <c r="E212" s="38">
        <f t="shared" si="39"/>
        <v>0</v>
      </c>
      <c r="F212" s="39">
        <f t="shared" si="40"/>
        <v>0</v>
      </c>
      <c r="G212" s="75">
        <f t="shared" si="41"/>
        <v>100</v>
      </c>
    </row>
    <row r="213" spans="1:7" ht="14.25" x14ac:dyDescent="0.2">
      <c r="A213" s="29">
        <f t="shared" si="37"/>
        <v>46260</v>
      </c>
      <c r="B213" s="35">
        <f t="shared" si="36"/>
        <v>52.829568788501028</v>
      </c>
      <c r="C213" s="36">
        <f t="shared" si="38"/>
        <v>120</v>
      </c>
      <c r="D213" s="37">
        <f>IF(C213&lt;=0,0,IF((Coefficients!$C$2+Coefficients!$C$4*C213+Coefficients!$C$6*C213^2+Coefficients!$C$8*C213^3+Coefficients!$C$10*C213^4)/(1+Coefficients!$C$3*C213+Coefficients!$C$5*C213^2+Coefficients!$C$7*C213^3+Coefficients!$C$9*C213^4+Coefficients!$C$11*C213^5)&gt;=100,100,(Coefficients!$C$2+Coefficients!$C$4*C213+Coefficients!$C$6*C213^2+Coefficients!$C$8*C213^3+Coefficients!$C$10*C213^4)/(1+Coefficients!$C$3*C213+Coefficients!$C$5*C213^2+Coefficients!$C$7*C213^3+Coefficients!$C$9*C213^4+Coefficients!$C$11*C213^5)))</f>
        <v>100</v>
      </c>
      <c r="E213" s="38">
        <f t="shared" si="39"/>
        <v>0</v>
      </c>
      <c r="F213" s="39">
        <f t="shared" si="40"/>
        <v>0</v>
      </c>
      <c r="G213" s="75">
        <f t="shared" si="41"/>
        <v>100</v>
      </c>
    </row>
    <row r="214" spans="1:7" ht="14.25" x14ac:dyDescent="0.2">
      <c r="A214" s="29">
        <f t="shared" si="37"/>
        <v>46260</v>
      </c>
      <c r="B214" s="35">
        <f t="shared" si="36"/>
        <v>52.829568788501028</v>
      </c>
      <c r="C214" s="36">
        <f t="shared" si="38"/>
        <v>120</v>
      </c>
      <c r="D214" s="37">
        <f>IF(C214&lt;=0,0,IF((Coefficients!$C$2+Coefficients!$C$4*C214+Coefficients!$C$6*C214^2+Coefficients!$C$8*C214^3+Coefficients!$C$10*C214^4)/(1+Coefficients!$C$3*C214+Coefficients!$C$5*C214^2+Coefficients!$C$7*C214^3+Coefficients!$C$9*C214^4+Coefficients!$C$11*C214^5)&gt;=100,100,(Coefficients!$C$2+Coefficients!$C$4*C214+Coefficients!$C$6*C214^2+Coefficients!$C$8*C214^3+Coefficients!$C$10*C214^4)/(1+Coefficients!$C$3*C214+Coefficients!$C$5*C214^2+Coefficients!$C$7*C214^3+Coefficients!$C$9*C214^4+Coefficients!$C$11*C214^5)))</f>
        <v>100</v>
      </c>
      <c r="E214" s="38">
        <f t="shared" si="39"/>
        <v>0</v>
      </c>
      <c r="F214" s="39">
        <f t="shared" si="40"/>
        <v>0</v>
      </c>
      <c r="G214" s="75">
        <f t="shared" si="41"/>
        <v>100</v>
      </c>
    </row>
    <row r="215" spans="1:7" ht="14.25" x14ac:dyDescent="0.2">
      <c r="A215" s="29">
        <f t="shared" si="37"/>
        <v>46260</v>
      </c>
      <c r="B215" s="35">
        <f t="shared" si="36"/>
        <v>52.829568788501028</v>
      </c>
      <c r="C215" s="36">
        <f t="shared" si="38"/>
        <v>120</v>
      </c>
      <c r="D215" s="37">
        <f>IF(C215&lt;=0,0,IF((Coefficients!$C$2+Coefficients!$C$4*C215+Coefficients!$C$6*C215^2+Coefficients!$C$8*C215^3+Coefficients!$C$10*C215^4)/(1+Coefficients!$C$3*C215+Coefficients!$C$5*C215^2+Coefficients!$C$7*C215^3+Coefficients!$C$9*C215^4+Coefficients!$C$11*C215^5)&gt;=100,100,(Coefficients!$C$2+Coefficients!$C$4*C215+Coefficients!$C$6*C215^2+Coefficients!$C$8*C215^3+Coefficients!$C$10*C215^4)/(1+Coefficients!$C$3*C215+Coefficients!$C$5*C215^2+Coefficients!$C$7*C215^3+Coefficients!$C$9*C215^4+Coefficients!$C$11*C215^5)))</f>
        <v>100</v>
      </c>
      <c r="E215" s="38">
        <f t="shared" si="39"/>
        <v>0</v>
      </c>
      <c r="F215" s="39">
        <f t="shared" si="40"/>
        <v>0</v>
      </c>
      <c r="G215" s="75">
        <f t="shared" si="41"/>
        <v>100</v>
      </c>
    </row>
    <row r="216" spans="1:7" ht="14.25" x14ac:dyDescent="0.2">
      <c r="A216" s="29">
        <f t="shared" si="37"/>
        <v>46260</v>
      </c>
      <c r="B216" s="35">
        <f t="shared" si="36"/>
        <v>52.829568788501028</v>
      </c>
      <c r="C216" s="36">
        <f t="shared" si="38"/>
        <v>120</v>
      </c>
      <c r="D216" s="37">
        <f>IF(C216&lt;=0,0,IF((Coefficients!$C$2+Coefficients!$C$4*C216+Coefficients!$C$6*C216^2+Coefficients!$C$8*C216^3+Coefficients!$C$10*C216^4)/(1+Coefficients!$C$3*C216+Coefficients!$C$5*C216^2+Coefficients!$C$7*C216^3+Coefficients!$C$9*C216^4+Coefficients!$C$11*C216^5)&gt;=100,100,(Coefficients!$C$2+Coefficients!$C$4*C216+Coefficients!$C$6*C216^2+Coefficients!$C$8*C216^3+Coefficients!$C$10*C216^4)/(1+Coefficients!$C$3*C216+Coefficients!$C$5*C216^2+Coefficients!$C$7*C216^3+Coefficients!$C$9*C216^4+Coefficients!$C$11*C216^5)))</f>
        <v>100</v>
      </c>
      <c r="E216" s="38">
        <f t="shared" si="39"/>
        <v>0</v>
      </c>
      <c r="F216" s="39">
        <f t="shared" si="40"/>
        <v>0</v>
      </c>
      <c r="G216" s="75">
        <f t="shared" si="41"/>
        <v>100</v>
      </c>
    </row>
    <row r="217" spans="1:7" ht="14.25" x14ac:dyDescent="0.2">
      <c r="A217" s="29">
        <f t="shared" si="37"/>
        <v>46260</v>
      </c>
      <c r="B217" s="35">
        <f t="shared" si="36"/>
        <v>52.829568788501028</v>
      </c>
      <c r="C217" s="36">
        <f t="shared" si="38"/>
        <v>120</v>
      </c>
      <c r="D217" s="37">
        <f>IF(C217&lt;=0,0,IF((Coefficients!$C$2+Coefficients!$C$4*C217+Coefficients!$C$6*C217^2+Coefficients!$C$8*C217^3+Coefficients!$C$10*C217^4)/(1+Coefficients!$C$3*C217+Coefficients!$C$5*C217^2+Coefficients!$C$7*C217^3+Coefficients!$C$9*C217^4+Coefficients!$C$11*C217^5)&gt;=100,100,(Coefficients!$C$2+Coefficients!$C$4*C217+Coefficients!$C$6*C217^2+Coefficients!$C$8*C217^3+Coefficients!$C$10*C217^4)/(1+Coefficients!$C$3*C217+Coefficients!$C$5*C217^2+Coefficients!$C$7*C217^3+Coefficients!$C$9*C217^4+Coefficients!$C$11*C217^5)))</f>
        <v>100</v>
      </c>
      <c r="E217" s="38">
        <f t="shared" si="39"/>
        <v>0</v>
      </c>
      <c r="F217" s="39">
        <f t="shared" si="40"/>
        <v>0</v>
      </c>
      <c r="G217" s="75">
        <f t="shared" si="41"/>
        <v>100</v>
      </c>
    </row>
    <row r="218" spans="1:7" ht="14.25" x14ac:dyDescent="0.2">
      <c r="A218" s="29">
        <f t="shared" si="37"/>
        <v>46260</v>
      </c>
      <c r="B218" s="35">
        <f t="shared" si="36"/>
        <v>52.829568788501028</v>
      </c>
      <c r="C218" s="36">
        <f t="shared" si="38"/>
        <v>120</v>
      </c>
      <c r="D218" s="37">
        <f>IF(C218&lt;=0,0,IF((Coefficients!$C$2+Coefficients!$C$4*C218+Coefficients!$C$6*C218^2+Coefficients!$C$8*C218^3+Coefficients!$C$10*C218^4)/(1+Coefficients!$C$3*C218+Coefficients!$C$5*C218^2+Coefficients!$C$7*C218^3+Coefficients!$C$9*C218^4+Coefficients!$C$11*C218^5)&gt;=100,100,(Coefficients!$C$2+Coefficients!$C$4*C218+Coefficients!$C$6*C218^2+Coefficients!$C$8*C218^3+Coefficients!$C$10*C218^4)/(1+Coefficients!$C$3*C218+Coefficients!$C$5*C218^2+Coefficients!$C$7*C218^3+Coefficients!$C$9*C218^4+Coefficients!$C$11*C218^5)))</f>
        <v>100</v>
      </c>
      <c r="E218" s="38">
        <f t="shared" si="39"/>
        <v>0</v>
      </c>
      <c r="F218" s="39">
        <f t="shared" si="40"/>
        <v>0</v>
      </c>
      <c r="G218" s="75">
        <f t="shared" si="41"/>
        <v>100</v>
      </c>
    </row>
    <row r="219" spans="1:7" ht="14.25" x14ac:dyDescent="0.2">
      <c r="A219" s="29">
        <f t="shared" si="37"/>
        <v>46260</v>
      </c>
      <c r="B219" s="35">
        <f t="shared" si="36"/>
        <v>52.829568788501028</v>
      </c>
      <c r="C219" s="36">
        <f t="shared" si="38"/>
        <v>120</v>
      </c>
      <c r="D219" s="37">
        <f>IF(C219&lt;=0,0,IF((Coefficients!$C$2+Coefficients!$C$4*C219+Coefficients!$C$6*C219^2+Coefficients!$C$8*C219^3+Coefficients!$C$10*C219^4)/(1+Coefficients!$C$3*C219+Coefficients!$C$5*C219^2+Coefficients!$C$7*C219^3+Coefficients!$C$9*C219^4+Coefficients!$C$11*C219^5)&gt;=100,100,(Coefficients!$C$2+Coefficients!$C$4*C219+Coefficients!$C$6*C219^2+Coefficients!$C$8*C219^3+Coefficients!$C$10*C219^4)/(1+Coefficients!$C$3*C219+Coefficients!$C$5*C219^2+Coefficients!$C$7*C219^3+Coefficients!$C$9*C219^4+Coefficients!$C$11*C219^5)))</f>
        <v>100</v>
      </c>
      <c r="E219" s="38">
        <f t="shared" si="39"/>
        <v>0</v>
      </c>
      <c r="F219" s="39">
        <f t="shared" si="40"/>
        <v>0</v>
      </c>
      <c r="G219" s="75">
        <f t="shared" si="41"/>
        <v>100</v>
      </c>
    </row>
    <row r="220" spans="1:7" ht="14.25" x14ac:dyDescent="0.2">
      <c r="A220" s="29">
        <f t="shared" si="37"/>
        <v>46260</v>
      </c>
      <c r="B220" s="35">
        <f t="shared" si="36"/>
        <v>52.829568788501028</v>
      </c>
      <c r="C220" s="36">
        <f t="shared" si="38"/>
        <v>120</v>
      </c>
      <c r="D220" s="37">
        <f>IF(C220&lt;=0,0,IF((Coefficients!$C$2+Coefficients!$C$4*C220+Coefficients!$C$6*C220^2+Coefficients!$C$8*C220^3+Coefficients!$C$10*C220^4)/(1+Coefficients!$C$3*C220+Coefficients!$C$5*C220^2+Coefficients!$C$7*C220^3+Coefficients!$C$9*C220^4+Coefficients!$C$11*C220^5)&gt;=100,100,(Coefficients!$C$2+Coefficients!$C$4*C220+Coefficients!$C$6*C220^2+Coefficients!$C$8*C220^3+Coefficients!$C$10*C220^4)/(1+Coefficients!$C$3*C220+Coefficients!$C$5*C220^2+Coefficients!$C$7*C220^3+Coefficients!$C$9*C220^4+Coefficients!$C$11*C220^5)))</f>
        <v>100</v>
      </c>
      <c r="E220" s="38">
        <f t="shared" si="39"/>
        <v>0</v>
      </c>
      <c r="F220" s="39">
        <f t="shared" si="40"/>
        <v>0</v>
      </c>
      <c r="G220" s="75">
        <f t="shared" si="41"/>
        <v>100</v>
      </c>
    </row>
    <row r="221" spans="1:7" ht="14.25" x14ac:dyDescent="0.2">
      <c r="A221" s="29">
        <f t="shared" si="37"/>
        <v>46260</v>
      </c>
      <c r="B221" s="35">
        <f t="shared" si="36"/>
        <v>52.829568788501028</v>
      </c>
      <c r="C221" s="36">
        <f t="shared" si="38"/>
        <v>120</v>
      </c>
      <c r="D221" s="37">
        <f>IF(C221&lt;=0,0,IF((Coefficients!$C$2+Coefficients!$C$4*C221+Coefficients!$C$6*C221^2+Coefficients!$C$8*C221^3+Coefficients!$C$10*C221^4)/(1+Coefficients!$C$3*C221+Coefficients!$C$5*C221^2+Coefficients!$C$7*C221^3+Coefficients!$C$9*C221^4+Coefficients!$C$11*C221^5)&gt;=100,100,(Coefficients!$C$2+Coefficients!$C$4*C221+Coefficients!$C$6*C221^2+Coefficients!$C$8*C221^3+Coefficients!$C$10*C221^4)/(1+Coefficients!$C$3*C221+Coefficients!$C$5*C221^2+Coefficients!$C$7*C221^3+Coefficients!$C$9*C221^4+Coefficients!$C$11*C221^5)))</f>
        <v>100</v>
      </c>
      <c r="E221" s="38">
        <f t="shared" si="39"/>
        <v>0</v>
      </c>
      <c r="F221" s="39">
        <f t="shared" si="40"/>
        <v>0</v>
      </c>
      <c r="G221" s="75">
        <f t="shared" si="41"/>
        <v>100</v>
      </c>
    </row>
    <row r="222" spans="1:7" ht="14.25" x14ac:dyDescent="0.2">
      <c r="A222" s="29">
        <f t="shared" si="37"/>
        <v>46260</v>
      </c>
      <c r="B222" s="35">
        <f t="shared" si="36"/>
        <v>52.829568788501028</v>
      </c>
      <c r="C222" s="36">
        <f t="shared" si="38"/>
        <v>120</v>
      </c>
      <c r="D222" s="37">
        <f>IF(C222&lt;=0,0,IF((Coefficients!$C$2+Coefficients!$C$4*C222+Coefficients!$C$6*C222^2+Coefficients!$C$8*C222^3+Coefficients!$C$10*C222^4)/(1+Coefficients!$C$3*C222+Coefficients!$C$5*C222^2+Coefficients!$C$7*C222^3+Coefficients!$C$9*C222^4+Coefficients!$C$11*C222^5)&gt;=100,100,(Coefficients!$C$2+Coefficients!$C$4*C222+Coefficients!$C$6*C222^2+Coefficients!$C$8*C222^3+Coefficients!$C$10*C222^4)/(1+Coefficients!$C$3*C222+Coefficients!$C$5*C222^2+Coefficients!$C$7*C222^3+Coefficients!$C$9*C222^4+Coefficients!$C$11*C222^5)))</f>
        <v>100</v>
      </c>
      <c r="E222" s="38">
        <f t="shared" si="39"/>
        <v>0</v>
      </c>
      <c r="F222" s="39">
        <f t="shared" si="40"/>
        <v>0</v>
      </c>
      <c r="G222" s="75">
        <f t="shared" si="41"/>
        <v>100</v>
      </c>
    </row>
    <row r="223" spans="1:7" ht="14.25" x14ac:dyDescent="0.2">
      <c r="A223" s="29">
        <f t="shared" si="37"/>
        <v>46260</v>
      </c>
      <c r="B223" s="35">
        <f t="shared" si="36"/>
        <v>52.829568788501028</v>
      </c>
      <c r="C223" s="36">
        <f t="shared" si="38"/>
        <v>120</v>
      </c>
      <c r="D223" s="37">
        <f>IF(C223&lt;=0,0,IF((Coefficients!$C$2+Coefficients!$C$4*C223+Coefficients!$C$6*C223^2+Coefficients!$C$8*C223^3+Coefficients!$C$10*C223^4)/(1+Coefficients!$C$3*C223+Coefficients!$C$5*C223^2+Coefficients!$C$7*C223^3+Coefficients!$C$9*C223^4+Coefficients!$C$11*C223^5)&gt;=100,100,(Coefficients!$C$2+Coefficients!$C$4*C223+Coefficients!$C$6*C223^2+Coefficients!$C$8*C223^3+Coefficients!$C$10*C223^4)/(1+Coefficients!$C$3*C223+Coefficients!$C$5*C223^2+Coefficients!$C$7*C223^3+Coefficients!$C$9*C223^4+Coefficients!$C$11*C223^5)))</f>
        <v>100</v>
      </c>
      <c r="E223" s="38">
        <f t="shared" si="39"/>
        <v>0</v>
      </c>
      <c r="F223" s="39">
        <f t="shared" si="40"/>
        <v>0</v>
      </c>
      <c r="G223" s="75">
        <f t="shared" si="41"/>
        <v>100</v>
      </c>
    </row>
    <row r="224" spans="1:7" ht="14.25" x14ac:dyDescent="0.2">
      <c r="A224" s="29">
        <f t="shared" si="37"/>
        <v>46260</v>
      </c>
      <c r="B224" s="35">
        <f t="shared" si="36"/>
        <v>52.829568788501028</v>
      </c>
      <c r="C224" s="36">
        <f t="shared" si="38"/>
        <v>120</v>
      </c>
      <c r="D224" s="37">
        <f>IF(C224&lt;=0,0,IF((Coefficients!$C$2+Coefficients!$C$4*C224+Coefficients!$C$6*C224^2+Coefficients!$C$8*C224^3+Coefficients!$C$10*C224^4)/(1+Coefficients!$C$3*C224+Coefficients!$C$5*C224^2+Coefficients!$C$7*C224^3+Coefficients!$C$9*C224^4+Coefficients!$C$11*C224^5)&gt;=100,100,(Coefficients!$C$2+Coefficients!$C$4*C224+Coefficients!$C$6*C224^2+Coefficients!$C$8*C224^3+Coefficients!$C$10*C224^4)/(1+Coefficients!$C$3*C224+Coefficients!$C$5*C224^2+Coefficients!$C$7*C224^3+Coefficients!$C$9*C224^4+Coefficients!$C$11*C224^5)))</f>
        <v>100</v>
      </c>
      <c r="E224" s="38">
        <f t="shared" si="39"/>
        <v>0</v>
      </c>
      <c r="F224" s="39">
        <f t="shared" si="40"/>
        <v>0</v>
      </c>
      <c r="G224" s="75">
        <f t="shared" si="41"/>
        <v>100</v>
      </c>
    </row>
    <row r="225" spans="1:7" ht="14.25" x14ac:dyDescent="0.2">
      <c r="A225" s="29">
        <f t="shared" si="37"/>
        <v>46260</v>
      </c>
      <c r="B225" s="35">
        <f t="shared" si="36"/>
        <v>52.829568788501028</v>
      </c>
      <c r="C225" s="36">
        <f t="shared" si="38"/>
        <v>120</v>
      </c>
      <c r="D225" s="37">
        <f>IF(C225&lt;=0,0,IF((Coefficients!$C$2+Coefficients!$C$4*C225+Coefficients!$C$6*C225^2+Coefficients!$C$8*C225^3+Coefficients!$C$10*C225^4)/(1+Coefficients!$C$3*C225+Coefficients!$C$5*C225^2+Coefficients!$C$7*C225^3+Coefficients!$C$9*C225^4+Coefficients!$C$11*C225^5)&gt;=100,100,(Coefficients!$C$2+Coefficients!$C$4*C225+Coefficients!$C$6*C225^2+Coefficients!$C$8*C225^3+Coefficients!$C$10*C225^4)/(1+Coefficients!$C$3*C225+Coefficients!$C$5*C225^2+Coefficients!$C$7*C225^3+Coefficients!$C$9*C225^4+Coefficients!$C$11*C225^5)))</f>
        <v>100</v>
      </c>
      <c r="E225" s="38">
        <f t="shared" si="39"/>
        <v>0</v>
      </c>
      <c r="F225" s="39">
        <f t="shared" si="40"/>
        <v>0</v>
      </c>
      <c r="G225" s="75">
        <f t="shared" si="41"/>
        <v>100</v>
      </c>
    </row>
    <row r="226" spans="1:7" ht="14.25" x14ac:dyDescent="0.2">
      <c r="A226" s="29">
        <f t="shared" si="37"/>
        <v>46260</v>
      </c>
      <c r="B226" s="35">
        <f t="shared" si="36"/>
        <v>52.829568788501028</v>
      </c>
      <c r="C226" s="36">
        <f t="shared" si="38"/>
        <v>120</v>
      </c>
      <c r="D226" s="37">
        <f>IF(C226&lt;=0,0,IF((Coefficients!$C$2+Coefficients!$C$4*C226+Coefficients!$C$6*C226^2+Coefficients!$C$8*C226^3+Coefficients!$C$10*C226^4)/(1+Coefficients!$C$3*C226+Coefficients!$C$5*C226^2+Coefficients!$C$7*C226^3+Coefficients!$C$9*C226^4+Coefficients!$C$11*C226^5)&gt;=100,100,(Coefficients!$C$2+Coefficients!$C$4*C226+Coefficients!$C$6*C226^2+Coefficients!$C$8*C226^3+Coefficients!$C$10*C226^4)/(1+Coefficients!$C$3*C226+Coefficients!$C$5*C226^2+Coefficients!$C$7*C226^3+Coefficients!$C$9*C226^4+Coefficients!$C$11*C226^5)))</f>
        <v>100</v>
      </c>
      <c r="E226" s="38">
        <f t="shared" si="39"/>
        <v>0</v>
      </c>
      <c r="F226" s="39">
        <f t="shared" si="40"/>
        <v>0</v>
      </c>
      <c r="G226" s="75">
        <f t="shared" si="41"/>
        <v>100</v>
      </c>
    </row>
    <row r="227" spans="1:7" ht="14.25" x14ac:dyDescent="0.2">
      <c r="A227" s="29">
        <f t="shared" si="37"/>
        <v>46260</v>
      </c>
      <c r="B227" s="35">
        <f t="shared" si="36"/>
        <v>52.829568788501028</v>
      </c>
      <c r="C227" s="36">
        <f t="shared" si="38"/>
        <v>120</v>
      </c>
      <c r="D227" s="37">
        <f>IF(C227&lt;=0,0,IF((Coefficients!$C$2+Coefficients!$C$4*C227+Coefficients!$C$6*C227^2+Coefficients!$C$8*C227^3+Coefficients!$C$10*C227^4)/(1+Coefficients!$C$3*C227+Coefficients!$C$5*C227^2+Coefficients!$C$7*C227^3+Coefficients!$C$9*C227^4+Coefficients!$C$11*C227^5)&gt;=100,100,(Coefficients!$C$2+Coefficients!$C$4*C227+Coefficients!$C$6*C227^2+Coefficients!$C$8*C227^3+Coefficients!$C$10*C227^4)/(1+Coefficients!$C$3*C227+Coefficients!$C$5*C227^2+Coefficients!$C$7*C227^3+Coefficients!$C$9*C227^4+Coefficients!$C$11*C227^5)))</f>
        <v>100</v>
      </c>
      <c r="E227" s="38">
        <f t="shared" si="39"/>
        <v>0</v>
      </c>
      <c r="F227" s="39">
        <f t="shared" si="40"/>
        <v>0</v>
      </c>
      <c r="G227" s="75">
        <f t="shared" si="41"/>
        <v>100</v>
      </c>
    </row>
    <row r="228" spans="1:7" ht="14.25" x14ac:dyDescent="0.2">
      <c r="A228" s="29">
        <f t="shared" si="37"/>
        <v>46260</v>
      </c>
      <c r="B228" s="35">
        <f t="shared" si="36"/>
        <v>52.829568788501028</v>
      </c>
      <c r="C228" s="36">
        <f t="shared" si="38"/>
        <v>120</v>
      </c>
      <c r="D228" s="37">
        <f>IF(C228&lt;=0,0,IF((Coefficients!$C$2+Coefficients!$C$4*C228+Coefficients!$C$6*C228^2+Coefficients!$C$8*C228^3+Coefficients!$C$10*C228^4)/(1+Coefficients!$C$3*C228+Coefficients!$C$5*C228^2+Coefficients!$C$7*C228^3+Coefficients!$C$9*C228^4+Coefficients!$C$11*C228^5)&gt;=100,100,(Coefficients!$C$2+Coefficients!$C$4*C228+Coefficients!$C$6*C228^2+Coefficients!$C$8*C228^3+Coefficients!$C$10*C228^4)/(1+Coefficients!$C$3*C228+Coefficients!$C$5*C228^2+Coefficients!$C$7*C228^3+Coefficients!$C$9*C228^4+Coefficients!$C$11*C228^5)))</f>
        <v>100</v>
      </c>
      <c r="E228" s="38">
        <f t="shared" si="39"/>
        <v>0</v>
      </c>
      <c r="F228" s="39">
        <f t="shared" si="40"/>
        <v>0</v>
      </c>
      <c r="G228" s="75">
        <f t="shared" si="41"/>
        <v>100</v>
      </c>
    </row>
    <row r="229" spans="1:7" ht="14.25" x14ac:dyDescent="0.2">
      <c r="A229" s="29">
        <f t="shared" si="37"/>
        <v>46260</v>
      </c>
      <c r="B229" s="35">
        <f t="shared" si="36"/>
        <v>52.829568788501028</v>
      </c>
      <c r="C229" s="36">
        <f t="shared" si="38"/>
        <v>120</v>
      </c>
      <c r="D229" s="37">
        <f>IF(C229&lt;=0,0,IF((Coefficients!$C$2+Coefficients!$C$4*C229+Coefficients!$C$6*C229^2+Coefficients!$C$8*C229^3+Coefficients!$C$10*C229^4)/(1+Coefficients!$C$3*C229+Coefficients!$C$5*C229^2+Coefficients!$C$7*C229^3+Coefficients!$C$9*C229^4+Coefficients!$C$11*C229^5)&gt;=100,100,(Coefficients!$C$2+Coefficients!$C$4*C229+Coefficients!$C$6*C229^2+Coefficients!$C$8*C229^3+Coefficients!$C$10*C229^4)/(1+Coefficients!$C$3*C229+Coefficients!$C$5*C229^2+Coefficients!$C$7*C229^3+Coefficients!$C$9*C229^4+Coefficients!$C$11*C229^5)))</f>
        <v>100</v>
      </c>
      <c r="E229" s="38">
        <f t="shared" si="39"/>
        <v>0</v>
      </c>
      <c r="F229" s="39">
        <f t="shared" si="40"/>
        <v>0</v>
      </c>
      <c r="G229" s="75">
        <f t="shared" si="41"/>
        <v>100</v>
      </c>
    </row>
    <row r="230" spans="1:7" ht="14.25" x14ac:dyDescent="0.2">
      <c r="A230" s="29">
        <f t="shared" si="37"/>
        <v>46260</v>
      </c>
      <c r="B230" s="35">
        <f t="shared" si="36"/>
        <v>52.829568788501028</v>
      </c>
      <c r="C230" s="36">
        <f t="shared" si="38"/>
        <v>120</v>
      </c>
      <c r="D230" s="37">
        <f>IF(C230&lt;=0,0,IF((Coefficients!$C$2+Coefficients!$C$4*C230+Coefficients!$C$6*C230^2+Coefficients!$C$8*C230^3+Coefficients!$C$10*C230^4)/(1+Coefficients!$C$3*C230+Coefficients!$C$5*C230^2+Coefficients!$C$7*C230^3+Coefficients!$C$9*C230^4+Coefficients!$C$11*C230^5)&gt;=100,100,(Coefficients!$C$2+Coefficients!$C$4*C230+Coefficients!$C$6*C230^2+Coefficients!$C$8*C230^3+Coefficients!$C$10*C230^4)/(1+Coefficients!$C$3*C230+Coefficients!$C$5*C230^2+Coefficients!$C$7*C230^3+Coefficients!$C$9*C230^4+Coefficients!$C$11*C230^5)))</f>
        <v>100</v>
      </c>
      <c r="E230" s="38">
        <f t="shared" si="39"/>
        <v>0</v>
      </c>
      <c r="F230" s="39">
        <f t="shared" si="40"/>
        <v>0</v>
      </c>
      <c r="G230" s="75">
        <f t="shared" si="41"/>
        <v>100</v>
      </c>
    </row>
    <row r="231" spans="1:7" ht="14.25" x14ac:dyDescent="0.2">
      <c r="A231" s="29">
        <f t="shared" si="37"/>
        <v>46260</v>
      </c>
      <c r="B231" s="35">
        <f t="shared" si="36"/>
        <v>52.829568788501028</v>
      </c>
      <c r="C231" s="36">
        <f t="shared" si="38"/>
        <v>120</v>
      </c>
      <c r="D231" s="37">
        <f>IF(C231&lt;=0,0,IF((Coefficients!$C$2+Coefficients!$C$4*C231+Coefficients!$C$6*C231^2+Coefficients!$C$8*C231^3+Coefficients!$C$10*C231^4)/(1+Coefficients!$C$3*C231+Coefficients!$C$5*C231^2+Coefficients!$C$7*C231^3+Coefficients!$C$9*C231^4+Coefficients!$C$11*C231^5)&gt;=100,100,(Coefficients!$C$2+Coefficients!$C$4*C231+Coefficients!$C$6*C231^2+Coefficients!$C$8*C231^3+Coefficients!$C$10*C231^4)/(1+Coefficients!$C$3*C231+Coefficients!$C$5*C231^2+Coefficients!$C$7*C231^3+Coefficients!$C$9*C231^4+Coefficients!$C$11*C231^5)))</f>
        <v>100</v>
      </c>
      <c r="E231" s="38">
        <f t="shared" si="39"/>
        <v>0</v>
      </c>
      <c r="F231" s="39">
        <f t="shared" si="40"/>
        <v>0</v>
      </c>
      <c r="G231" s="75">
        <f t="shared" si="41"/>
        <v>100</v>
      </c>
    </row>
    <row r="232" spans="1:7" ht="14.25" x14ac:dyDescent="0.2">
      <c r="A232" s="29">
        <f t="shared" si="37"/>
        <v>46260</v>
      </c>
      <c r="B232" s="35">
        <f t="shared" si="36"/>
        <v>52.829568788501028</v>
      </c>
      <c r="C232" s="36">
        <f t="shared" si="38"/>
        <v>120</v>
      </c>
      <c r="D232" s="37">
        <f>IF(C232&lt;=0,0,IF((Coefficients!$C$2+Coefficients!$C$4*C232+Coefficients!$C$6*C232^2+Coefficients!$C$8*C232^3+Coefficients!$C$10*C232^4)/(1+Coefficients!$C$3*C232+Coefficients!$C$5*C232^2+Coefficients!$C$7*C232^3+Coefficients!$C$9*C232^4+Coefficients!$C$11*C232^5)&gt;=100,100,(Coefficients!$C$2+Coefficients!$C$4*C232+Coefficients!$C$6*C232^2+Coefficients!$C$8*C232^3+Coefficients!$C$10*C232^4)/(1+Coefficients!$C$3*C232+Coefficients!$C$5*C232^2+Coefficients!$C$7*C232^3+Coefficients!$C$9*C232^4+Coefficients!$C$11*C232^5)))</f>
        <v>100</v>
      </c>
      <c r="E232" s="38">
        <f t="shared" si="39"/>
        <v>0</v>
      </c>
      <c r="F232" s="39">
        <f t="shared" si="40"/>
        <v>0</v>
      </c>
      <c r="G232" s="75">
        <f t="shared" si="41"/>
        <v>100</v>
      </c>
    </row>
    <row r="233" spans="1:7" ht="14.25" x14ac:dyDescent="0.2">
      <c r="A233" s="29">
        <f t="shared" si="37"/>
        <v>46260</v>
      </c>
      <c r="B233" s="35">
        <f t="shared" si="36"/>
        <v>52.829568788501028</v>
      </c>
      <c r="C233" s="36">
        <f t="shared" si="38"/>
        <v>120</v>
      </c>
      <c r="D233" s="37">
        <f>IF(C233&lt;=0,0,IF((Coefficients!$C$2+Coefficients!$C$4*C233+Coefficients!$C$6*C233^2+Coefficients!$C$8*C233^3+Coefficients!$C$10*C233^4)/(1+Coefficients!$C$3*C233+Coefficients!$C$5*C233^2+Coefficients!$C$7*C233^3+Coefficients!$C$9*C233^4+Coefficients!$C$11*C233^5)&gt;=100,100,(Coefficients!$C$2+Coefficients!$C$4*C233+Coefficients!$C$6*C233^2+Coefficients!$C$8*C233^3+Coefficients!$C$10*C233^4)/(1+Coefficients!$C$3*C233+Coefficients!$C$5*C233^2+Coefficients!$C$7*C233^3+Coefficients!$C$9*C233^4+Coefficients!$C$11*C233^5)))</f>
        <v>100</v>
      </c>
      <c r="E233" s="38">
        <f t="shared" si="39"/>
        <v>0</v>
      </c>
      <c r="F233" s="39">
        <f t="shared" si="40"/>
        <v>0</v>
      </c>
      <c r="G233" s="75">
        <f t="shared" si="41"/>
        <v>100</v>
      </c>
    </row>
    <row r="234" spans="1:7" ht="14.25" x14ac:dyDescent="0.2">
      <c r="A234" s="29">
        <f t="shared" si="37"/>
        <v>46260</v>
      </c>
      <c r="B234" s="35">
        <f t="shared" si="36"/>
        <v>52.829568788501028</v>
      </c>
      <c r="C234" s="36">
        <f t="shared" si="38"/>
        <v>120</v>
      </c>
      <c r="D234" s="37">
        <f>IF(C234&lt;=0,0,IF((Coefficients!$C$2+Coefficients!$C$4*C234+Coefficients!$C$6*C234^2+Coefficients!$C$8*C234^3+Coefficients!$C$10*C234^4)/(1+Coefficients!$C$3*C234+Coefficients!$C$5*C234^2+Coefficients!$C$7*C234^3+Coefficients!$C$9*C234^4+Coefficients!$C$11*C234^5)&gt;=100,100,(Coefficients!$C$2+Coefficients!$C$4*C234+Coefficients!$C$6*C234^2+Coefficients!$C$8*C234^3+Coefficients!$C$10*C234^4)/(1+Coefficients!$C$3*C234+Coefficients!$C$5*C234^2+Coefficients!$C$7*C234^3+Coefficients!$C$9*C234^4+Coefficients!$C$11*C234^5)))</f>
        <v>100</v>
      </c>
      <c r="E234" s="38">
        <f t="shared" si="39"/>
        <v>0</v>
      </c>
      <c r="F234" s="39">
        <f t="shared" si="40"/>
        <v>0</v>
      </c>
      <c r="G234" s="75">
        <f t="shared" si="41"/>
        <v>100</v>
      </c>
    </row>
    <row r="235" spans="1:7" ht="14.25" x14ac:dyDescent="0.2">
      <c r="A235" s="29">
        <f t="shared" si="37"/>
        <v>46260</v>
      </c>
      <c r="B235" s="35">
        <f t="shared" si="36"/>
        <v>52.829568788501028</v>
      </c>
      <c r="C235" s="36">
        <f t="shared" si="38"/>
        <v>120</v>
      </c>
      <c r="D235" s="37">
        <f>IF(C235&lt;=0,0,IF((Coefficients!$C$2+Coefficients!$C$4*C235+Coefficients!$C$6*C235^2+Coefficients!$C$8*C235^3+Coefficients!$C$10*C235^4)/(1+Coefficients!$C$3*C235+Coefficients!$C$5*C235^2+Coefficients!$C$7*C235^3+Coefficients!$C$9*C235^4+Coefficients!$C$11*C235^5)&gt;=100,100,(Coefficients!$C$2+Coefficients!$C$4*C235+Coefficients!$C$6*C235^2+Coefficients!$C$8*C235^3+Coefficients!$C$10*C235^4)/(1+Coefficients!$C$3*C235+Coefficients!$C$5*C235^2+Coefficients!$C$7*C235^3+Coefficients!$C$9*C235^4+Coefficients!$C$11*C235^5)))</f>
        <v>100</v>
      </c>
      <c r="E235" s="38">
        <f t="shared" si="39"/>
        <v>0</v>
      </c>
      <c r="F235" s="39">
        <f t="shared" si="40"/>
        <v>0</v>
      </c>
      <c r="G235" s="75">
        <f t="shared" si="41"/>
        <v>100</v>
      </c>
    </row>
    <row r="236" spans="1:7" ht="14.25" x14ac:dyDescent="0.2">
      <c r="A236" s="29">
        <f t="shared" si="37"/>
        <v>46260</v>
      </c>
      <c r="B236" s="35">
        <f t="shared" si="36"/>
        <v>52.829568788501028</v>
      </c>
      <c r="C236" s="36">
        <f t="shared" si="38"/>
        <v>120</v>
      </c>
      <c r="D236" s="37">
        <f>IF(C236&lt;=0,0,IF((Coefficients!$C$2+Coefficients!$C$4*C236+Coefficients!$C$6*C236^2+Coefficients!$C$8*C236^3+Coefficients!$C$10*C236^4)/(1+Coefficients!$C$3*C236+Coefficients!$C$5*C236^2+Coefficients!$C$7*C236^3+Coefficients!$C$9*C236^4+Coefficients!$C$11*C236^5)&gt;=100,100,(Coefficients!$C$2+Coefficients!$C$4*C236+Coefficients!$C$6*C236^2+Coefficients!$C$8*C236^3+Coefficients!$C$10*C236^4)/(1+Coefficients!$C$3*C236+Coefficients!$C$5*C236^2+Coefficients!$C$7*C236^3+Coefficients!$C$9*C236^4+Coefficients!$C$11*C236^5)))</f>
        <v>100</v>
      </c>
      <c r="E236" s="38">
        <f t="shared" si="39"/>
        <v>0</v>
      </c>
      <c r="F236" s="39">
        <f t="shared" si="40"/>
        <v>0</v>
      </c>
      <c r="G236" s="75">
        <f t="shared" si="41"/>
        <v>100</v>
      </c>
    </row>
    <row r="237" spans="1:7" ht="14.25" x14ac:dyDescent="0.2">
      <c r="A237" s="29">
        <f t="shared" si="37"/>
        <v>46260</v>
      </c>
      <c r="B237" s="35">
        <f t="shared" si="36"/>
        <v>52.829568788501028</v>
      </c>
      <c r="C237" s="36">
        <f t="shared" si="38"/>
        <v>120</v>
      </c>
      <c r="D237" s="37">
        <f>IF(C237&lt;=0,0,IF((Coefficients!$C$2+Coefficients!$C$4*C237+Coefficients!$C$6*C237^2+Coefficients!$C$8*C237^3+Coefficients!$C$10*C237^4)/(1+Coefficients!$C$3*C237+Coefficients!$C$5*C237^2+Coefficients!$C$7*C237^3+Coefficients!$C$9*C237^4+Coefficients!$C$11*C237^5)&gt;=100,100,(Coefficients!$C$2+Coefficients!$C$4*C237+Coefficients!$C$6*C237^2+Coefficients!$C$8*C237^3+Coefficients!$C$10*C237^4)/(1+Coefficients!$C$3*C237+Coefficients!$C$5*C237^2+Coefficients!$C$7*C237^3+Coefficients!$C$9*C237^4+Coefficients!$C$11*C237^5)))</f>
        <v>100</v>
      </c>
      <c r="E237" s="38">
        <f t="shared" si="39"/>
        <v>0</v>
      </c>
      <c r="F237" s="39">
        <f t="shared" si="40"/>
        <v>0</v>
      </c>
      <c r="G237" s="75">
        <f t="shared" si="41"/>
        <v>100</v>
      </c>
    </row>
    <row r="238" spans="1:7" ht="14.25" x14ac:dyDescent="0.2">
      <c r="A238" s="29">
        <f t="shared" si="37"/>
        <v>46260</v>
      </c>
      <c r="B238" s="35">
        <f t="shared" si="36"/>
        <v>52.829568788501028</v>
      </c>
      <c r="C238" s="36">
        <f t="shared" si="38"/>
        <v>120</v>
      </c>
      <c r="D238" s="37">
        <f>IF(C238&lt;=0,0,IF((Coefficients!$C$2+Coefficients!$C$4*C238+Coefficients!$C$6*C238^2+Coefficients!$C$8*C238^3+Coefficients!$C$10*C238^4)/(1+Coefficients!$C$3*C238+Coefficients!$C$5*C238^2+Coefficients!$C$7*C238^3+Coefficients!$C$9*C238^4+Coefficients!$C$11*C238^5)&gt;=100,100,(Coefficients!$C$2+Coefficients!$C$4*C238+Coefficients!$C$6*C238^2+Coefficients!$C$8*C238^3+Coefficients!$C$10*C238^4)/(1+Coefficients!$C$3*C238+Coefficients!$C$5*C238^2+Coefficients!$C$7*C238^3+Coefficients!$C$9*C238^4+Coefficients!$C$11*C238^5)))</f>
        <v>100</v>
      </c>
      <c r="E238" s="38">
        <f t="shared" si="39"/>
        <v>0</v>
      </c>
      <c r="F238" s="39">
        <f t="shared" si="40"/>
        <v>0</v>
      </c>
      <c r="G238" s="75">
        <f t="shared" si="41"/>
        <v>100</v>
      </c>
    </row>
    <row r="239" spans="1:7" ht="14.25" x14ac:dyDescent="0.2">
      <c r="A239" s="29">
        <f t="shared" si="37"/>
        <v>46260</v>
      </c>
      <c r="B239" s="35">
        <f t="shared" si="36"/>
        <v>52.829568788501028</v>
      </c>
      <c r="C239" s="36">
        <f t="shared" si="38"/>
        <v>120</v>
      </c>
      <c r="D239" s="37">
        <f>IF(C239&lt;=0,0,IF((Coefficients!$C$2+Coefficients!$C$4*C239+Coefficients!$C$6*C239^2+Coefficients!$C$8*C239^3+Coefficients!$C$10*C239^4)/(1+Coefficients!$C$3*C239+Coefficients!$C$5*C239^2+Coefficients!$C$7*C239^3+Coefficients!$C$9*C239^4+Coefficients!$C$11*C239^5)&gt;=100,100,(Coefficients!$C$2+Coefficients!$C$4*C239+Coefficients!$C$6*C239^2+Coefficients!$C$8*C239^3+Coefficients!$C$10*C239^4)/(1+Coefficients!$C$3*C239+Coefficients!$C$5*C239^2+Coefficients!$C$7*C239^3+Coefficients!$C$9*C239^4+Coefficients!$C$11*C239^5)))</f>
        <v>100</v>
      </c>
      <c r="E239" s="38">
        <f t="shared" si="39"/>
        <v>0</v>
      </c>
      <c r="F239" s="39">
        <f t="shared" si="40"/>
        <v>0</v>
      </c>
      <c r="G239" s="75">
        <f t="shared" si="41"/>
        <v>100</v>
      </c>
    </row>
    <row r="240" spans="1:7" ht="14.25" x14ac:dyDescent="0.2">
      <c r="A240" s="29">
        <f t="shared" si="37"/>
        <v>46260</v>
      </c>
      <c r="B240" s="35">
        <f t="shared" si="36"/>
        <v>52.829568788501028</v>
      </c>
      <c r="C240" s="36">
        <f t="shared" si="38"/>
        <v>120</v>
      </c>
      <c r="D240" s="37">
        <f>IF(C240&lt;=0,0,IF((Coefficients!$C$2+Coefficients!$C$4*C240+Coefficients!$C$6*C240^2+Coefficients!$C$8*C240^3+Coefficients!$C$10*C240^4)/(1+Coefficients!$C$3*C240+Coefficients!$C$5*C240^2+Coefficients!$C$7*C240^3+Coefficients!$C$9*C240^4+Coefficients!$C$11*C240^5)&gt;=100,100,(Coefficients!$C$2+Coefficients!$C$4*C240+Coefficients!$C$6*C240^2+Coefficients!$C$8*C240^3+Coefficients!$C$10*C240^4)/(1+Coefficients!$C$3*C240+Coefficients!$C$5*C240^2+Coefficients!$C$7*C240^3+Coefficients!$C$9*C240^4+Coefficients!$C$11*C240^5)))</f>
        <v>100</v>
      </c>
      <c r="E240" s="38">
        <f t="shared" si="39"/>
        <v>0</v>
      </c>
      <c r="F240" s="39">
        <f t="shared" si="40"/>
        <v>0</v>
      </c>
      <c r="G240" s="75">
        <f t="shared" si="41"/>
        <v>100</v>
      </c>
    </row>
    <row r="241" spans="1:7" ht="14.25" x14ac:dyDescent="0.2">
      <c r="A241" s="29">
        <f t="shared" si="37"/>
        <v>46260</v>
      </c>
      <c r="B241" s="35">
        <f t="shared" si="36"/>
        <v>52.829568788501028</v>
      </c>
      <c r="C241" s="36">
        <f t="shared" si="38"/>
        <v>120</v>
      </c>
      <c r="D241" s="37">
        <f>IF(C241&lt;=0,0,IF((Coefficients!$C$2+Coefficients!$C$4*C241+Coefficients!$C$6*C241^2+Coefficients!$C$8*C241^3+Coefficients!$C$10*C241^4)/(1+Coefficients!$C$3*C241+Coefficients!$C$5*C241^2+Coefficients!$C$7*C241^3+Coefficients!$C$9*C241^4+Coefficients!$C$11*C241^5)&gt;=100,100,(Coefficients!$C$2+Coefficients!$C$4*C241+Coefficients!$C$6*C241^2+Coefficients!$C$8*C241^3+Coefficients!$C$10*C241^4)/(1+Coefficients!$C$3*C241+Coefficients!$C$5*C241^2+Coefficients!$C$7*C241^3+Coefficients!$C$9*C241^4+Coefficients!$C$11*C241^5)))</f>
        <v>100</v>
      </c>
      <c r="E241" s="38">
        <f t="shared" si="39"/>
        <v>0</v>
      </c>
      <c r="F241" s="39">
        <f t="shared" si="40"/>
        <v>0</v>
      </c>
      <c r="G241" s="75">
        <f t="shared" si="41"/>
        <v>100</v>
      </c>
    </row>
    <row r="242" spans="1:7" ht="14.25" x14ac:dyDescent="0.2">
      <c r="A242" s="29">
        <f t="shared" si="37"/>
        <v>46260</v>
      </c>
      <c r="B242" s="35">
        <f t="shared" si="36"/>
        <v>52.829568788501028</v>
      </c>
      <c r="C242" s="36">
        <f t="shared" si="38"/>
        <v>120</v>
      </c>
      <c r="D242" s="37">
        <f>IF(C242&lt;=0,0,IF((Coefficients!$C$2+Coefficients!$C$4*C242+Coefficients!$C$6*C242^2+Coefficients!$C$8*C242^3+Coefficients!$C$10*C242^4)/(1+Coefficients!$C$3*C242+Coefficients!$C$5*C242^2+Coefficients!$C$7*C242^3+Coefficients!$C$9*C242^4+Coefficients!$C$11*C242^5)&gt;=100,100,(Coefficients!$C$2+Coefficients!$C$4*C242+Coefficients!$C$6*C242^2+Coefficients!$C$8*C242^3+Coefficients!$C$10*C242^4)/(1+Coefficients!$C$3*C242+Coefficients!$C$5*C242^2+Coefficients!$C$7*C242^3+Coefficients!$C$9*C242^4+Coefficients!$C$11*C242^5)))</f>
        <v>100</v>
      </c>
      <c r="E242" s="38">
        <f t="shared" si="39"/>
        <v>0</v>
      </c>
      <c r="F242" s="39">
        <f t="shared" si="40"/>
        <v>0</v>
      </c>
      <c r="G242" s="75">
        <f t="shared" si="41"/>
        <v>100</v>
      </c>
    </row>
    <row r="243" spans="1:7" ht="14.25" x14ac:dyDescent="0.2">
      <c r="A243" s="29">
        <f t="shared" si="37"/>
        <v>46260</v>
      </c>
      <c r="B243" s="35">
        <f t="shared" si="36"/>
        <v>52.829568788501028</v>
      </c>
      <c r="C243" s="36">
        <f t="shared" si="38"/>
        <v>120</v>
      </c>
      <c r="D243" s="37">
        <f>IF(C243&lt;=0,0,IF((Coefficients!$C$2+Coefficients!$C$4*C243+Coefficients!$C$6*C243^2+Coefficients!$C$8*C243^3+Coefficients!$C$10*C243^4)/(1+Coefficients!$C$3*C243+Coefficients!$C$5*C243^2+Coefficients!$C$7*C243^3+Coefficients!$C$9*C243^4+Coefficients!$C$11*C243^5)&gt;=100,100,(Coefficients!$C$2+Coefficients!$C$4*C243+Coefficients!$C$6*C243^2+Coefficients!$C$8*C243^3+Coefficients!$C$10*C243^4)/(1+Coefficients!$C$3*C243+Coefficients!$C$5*C243^2+Coefficients!$C$7*C243^3+Coefficients!$C$9*C243^4+Coefficients!$C$11*C243^5)))</f>
        <v>100</v>
      </c>
      <c r="E243" s="38">
        <f t="shared" si="39"/>
        <v>0</v>
      </c>
      <c r="F243" s="39">
        <f t="shared" si="40"/>
        <v>0</v>
      </c>
      <c r="G243" s="75">
        <f t="shared" si="41"/>
        <v>100</v>
      </c>
    </row>
    <row r="244" spans="1:7" ht="14.25" x14ac:dyDescent="0.2">
      <c r="A244" s="29">
        <f t="shared" si="37"/>
        <v>46260</v>
      </c>
      <c r="B244" s="35">
        <f t="shared" si="36"/>
        <v>52.829568788501028</v>
      </c>
      <c r="C244" s="36">
        <f t="shared" si="38"/>
        <v>120</v>
      </c>
      <c r="D244" s="37">
        <f>IF(C244&lt;=0,0,IF((Coefficients!$C$2+Coefficients!$C$4*C244+Coefficients!$C$6*C244^2+Coefficients!$C$8*C244^3+Coefficients!$C$10*C244^4)/(1+Coefficients!$C$3*C244+Coefficients!$C$5*C244^2+Coefficients!$C$7*C244^3+Coefficients!$C$9*C244^4+Coefficients!$C$11*C244^5)&gt;=100,100,(Coefficients!$C$2+Coefficients!$C$4*C244+Coefficients!$C$6*C244^2+Coefficients!$C$8*C244^3+Coefficients!$C$10*C244^4)/(1+Coefficients!$C$3*C244+Coefficients!$C$5*C244^2+Coefficients!$C$7*C244^3+Coefficients!$C$9*C244^4+Coefficients!$C$11*C244^5)))</f>
        <v>100</v>
      </c>
      <c r="E244" s="38">
        <f t="shared" si="39"/>
        <v>0</v>
      </c>
      <c r="F244" s="39">
        <f t="shared" si="40"/>
        <v>0</v>
      </c>
      <c r="G244" s="75">
        <f t="shared" si="41"/>
        <v>100</v>
      </c>
    </row>
    <row r="245" spans="1:7" ht="14.25" x14ac:dyDescent="0.2">
      <c r="A245" s="29">
        <f t="shared" si="37"/>
        <v>46260</v>
      </c>
      <c r="B245" s="35">
        <f t="shared" ref="B245:B308" si="42">+IF(B244+1&gt;=$C$5*1.2,$C$5*1.2,B244+1)</f>
        <v>52.829568788501028</v>
      </c>
      <c r="C245" s="36">
        <f t="shared" si="38"/>
        <v>120</v>
      </c>
      <c r="D245" s="37">
        <f>IF(C245&lt;=0,0,IF((Coefficients!$C$2+Coefficients!$C$4*C245+Coefficients!$C$6*C245^2+Coefficients!$C$8*C245^3+Coefficients!$C$10*C245^4)/(1+Coefficients!$C$3*C245+Coefficients!$C$5*C245^2+Coefficients!$C$7*C245^3+Coefficients!$C$9*C245^4+Coefficients!$C$11*C245^5)&gt;=100,100,(Coefficients!$C$2+Coefficients!$C$4*C245+Coefficients!$C$6*C245^2+Coefficients!$C$8*C245^3+Coefficients!$C$10*C245^4)/(1+Coefficients!$C$3*C245+Coefficients!$C$5*C245^2+Coefficients!$C$7*C245^3+Coefficients!$C$9*C245^4+Coefficients!$C$11*C245^5)))</f>
        <v>100</v>
      </c>
      <c r="E245" s="38">
        <f t="shared" si="39"/>
        <v>0</v>
      </c>
      <c r="F245" s="39">
        <f t="shared" si="40"/>
        <v>0</v>
      </c>
      <c r="G245" s="75">
        <f t="shared" si="41"/>
        <v>100</v>
      </c>
    </row>
    <row r="246" spans="1:7" ht="14.25" x14ac:dyDescent="0.2">
      <c r="A246" s="29">
        <f t="shared" si="37"/>
        <v>46260</v>
      </c>
      <c r="B246" s="35">
        <f t="shared" si="42"/>
        <v>52.829568788501028</v>
      </c>
      <c r="C246" s="36">
        <f t="shared" si="38"/>
        <v>120</v>
      </c>
      <c r="D246" s="37">
        <f>IF(C246&lt;=0,0,IF((Coefficients!$C$2+Coefficients!$C$4*C246+Coefficients!$C$6*C246^2+Coefficients!$C$8*C246^3+Coefficients!$C$10*C246^4)/(1+Coefficients!$C$3*C246+Coefficients!$C$5*C246^2+Coefficients!$C$7*C246^3+Coefficients!$C$9*C246^4+Coefficients!$C$11*C246^5)&gt;=100,100,(Coefficients!$C$2+Coefficients!$C$4*C246+Coefficients!$C$6*C246^2+Coefficients!$C$8*C246^3+Coefficients!$C$10*C246^4)/(1+Coefficients!$C$3*C246+Coefficients!$C$5*C246^2+Coefficients!$C$7*C246^3+Coefficients!$C$9*C246^4+Coefficients!$C$11*C246^5)))</f>
        <v>100</v>
      </c>
      <c r="E246" s="38">
        <f t="shared" si="39"/>
        <v>0</v>
      </c>
      <c r="F246" s="39">
        <f t="shared" si="40"/>
        <v>0</v>
      </c>
      <c r="G246" s="75">
        <f t="shared" si="41"/>
        <v>100</v>
      </c>
    </row>
    <row r="247" spans="1:7" ht="14.25" x14ac:dyDescent="0.2">
      <c r="A247" s="29">
        <f t="shared" si="37"/>
        <v>46260</v>
      </c>
      <c r="B247" s="35">
        <f t="shared" si="42"/>
        <v>52.829568788501028</v>
      </c>
      <c r="C247" s="36">
        <f t="shared" si="38"/>
        <v>120</v>
      </c>
      <c r="D247" s="37">
        <f>IF(C247&lt;=0,0,IF((Coefficients!$C$2+Coefficients!$C$4*C247+Coefficients!$C$6*C247^2+Coefficients!$C$8*C247^3+Coefficients!$C$10*C247^4)/(1+Coefficients!$C$3*C247+Coefficients!$C$5*C247^2+Coefficients!$C$7*C247^3+Coefficients!$C$9*C247^4+Coefficients!$C$11*C247^5)&gt;=100,100,(Coefficients!$C$2+Coefficients!$C$4*C247+Coefficients!$C$6*C247^2+Coefficients!$C$8*C247^3+Coefficients!$C$10*C247^4)/(1+Coefficients!$C$3*C247+Coefficients!$C$5*C247^2+Coefficients!$C$7*C247^3+Coefficients!$C$9*C247^4+Coefficients!$C$11*C247^5)))</f>
        <v>100</v>
      </c>
      <c r="E247" s="38">
        <f t="shared" si="39"/>
        <v>0</v>
      </c>
      <c r="F247" s="39">
        <f t="shared" si="40"/>
        <v>0</v>
      </c>
      <c r="G247" s="75">
        <f t="shared" si="41"/>
        <v>100</v>
      </c>
    </row>
    <row r="248" spans="1:7" ht="14.25" x14ac:dyDescent="0.2">
      <c r="A248" s="29">
        <f t="shared" si="37"/>
        <v>46260</v>
      </c>
      <c r="B248" s="35">
        <f t="shared" si="42"/>
        <v>52.829568788501028</v>
      </c>
      <c r="C248" s="36">
        <f t="shared" si="38"/>
        <v>120</v>
      </c>
      <c r="D248" s="37">
        <f>IF(C248&lt;=0,0,IF((Coefficients!$C$2+Coefficients!$C$4*C248+Coefficients!$C$6*C248^2+Coefficients!$C$8*C248^3+Coefficients!$C$10*C248^4)/(1+Coefficients!$C$3*C248+Coefficients!$C$5*C248^2+Coefficients!$C$7*C248^3+Coefficients!$C$9*C248^4+Coefficients!$C$11*C248^5)&gt;=100,100,(Coefficients!$C$2+Coefficients!$C$4*C248+Coefficients!$C$6*C248^2+Coefficients!$C$8*C248^3+Coefficients!$C$10*C248^4)/(1+Coefficients!$C$3*C248+Coefficients!$C$5*C248^2+Coefficients!$C$7*C248^3+Coefficients!$C$9*C248^4+Coefficients!$C$11*C248^5)))</f>
        <v>100</v>
      </c>
      <c r="E248" s="38">
        <f t="shared" si="39"/>
        <v>0</v>
      </c>
      <c r="F248" s="39">
        <f t="shared" si="40"/>
        <v>0</v>
      </c>
      <c r="G248" s="75">
        <f t="shared" si="41"/>
        <v>100</v>
      </c>
    </row>
    <row r="249" spans="1:7" ht="14.25" x14ac:dyDescent="0.2">
      <c r="A249" s="29">
        <f t="shared" si="37"/>
        <v>46260</v>
      </c>
      <c r="B249" s="35">
        <f t="shared" si="42"/>
        <v>52.829568788501028</v>
      </c>
      <c r="C249" s="36">
        <f t="shared" si="38"/>
        <v>120</v>
      </c>
      <c r="D249" s="37">
        <f>IF(C249&lt;=0,0,IF((Coefficients!$C$2+Coefficients!$C$4*C249+Coefficients!$C$6*C249^2+Coefficients!$C$8*C249^3+Coefficients!$C$10*C249^4)/(1+Coefficients!$C$3*C249+Coefficients!$C$5*C249^2+Coefficients!$C$7*C249^3+Coefficients!$C$9*C249^4+Coefficients!$C$11*C249^5)&gt;=100,100,(Coefficients!$C$2+Coefficients!$C$4*C249+Coefficients!$C$6*C249^2+Coefficients!$C$8*C249^3+Coefficients!$C$10*C249^4)/(1+Coefficients!$C$3*C249+Coefficients!$C$5*C249^2+Coefficients!$C$7*C249^3+Coefficients!$C$9*C249^4+Coefficients!$C$11*C249^5)))</f>
        <v>100</v>
      </c>
      <c r="E249" s="38">
        <f t="shared" si="39"/>
        <v>0</v>
      </c>
      <c r="F249" s="39">
        <f t="shared" si="40"/>
        <v>0</v>
      </c>
      <c r="G249" s="75">
        <f t="shared" si="41"/>
        <v>100</v>
      </c>
    </row>
    <row r="250" spans="1:7" ht="14.25" x14ac:dyDescent="0.2">
      <c r="A250" s="29">
        <f t="shared" si="37"/>
        <v>46260</v>
      </c>
      <c r="B250" s="35">
        <f t="shared" si="42"/>
        <v>52.829568788501028</v>
      </c>
      <c r="C250" s="36">
        <f t="shared" si="38"/>
        <v>120</v>
      </c>
      <c r="D250" s="37">
        <f>IF(C250&lt;=0,0,IF((Coefficients!$C$2+Coefficients!$C$4*C250+Coefficients!$C$6*C250^2+Coefficients!$C$8*C250^3+Coefficients!$C$10*C250^4)/(1+Coefficients!$C$3*C250+Coefficients!$C$5*C250^2+Coefficients!$C$7*C250^3+Coefficients!$C$9*C250^4+Coefficients!$C$11*C250^5)&gt;=100,100,(Coefficients!$C$2+Coefficients!$C$4*C250+Coefficients!$C$6*C250^2+Coefficients!$C$8*C250^3+Coefficients!$C$10*C250^4)/(1+Coefficients!$C$3*C250+Coefficients!$C$5*C250^2+Coefficients!$C$7*C250^3+Coefficients!$C$9*C250^4+Coefficients!$C$11*C250^5)))</f>
        <v>100</v>
      </c>
      <c r="E250" s="38">
        <f t="shared" si="39"/>
        <v>0</v>
      </c>
      <c r="F250" s="39">
        <f t="shared" si="40"/>
        <v>0</v>
      </c>
      <c r="G250" s="75">
        <f t="shared" si="41"/>
        <v>100</v>
      </c>
    </row>
    <row r="251" spans="1:7" ht="14.25" x14ac:dyDescent="0.2">
      <c r="A251" s="29">
        <f t="shared" si="37"/>
        <v>46260</v>
      </c>
      <c r="B251" s="35">
        <f t="shared" si="42"/>
        <v>52.829568788501028</v>
      </c>
      <c r="C251" s="36">
        <f t="shared" si="38"/>
        <v>120</v>
      </c>
      <c r="D251" s="37">
        <f>IF(C251&lt;=0,0,IF((Coefficients!$C$2+Coefficients!$C$4*C251+Coefficients!$C$6*C251^2+Coefficients!$C$8*C251^3+Coefficients!$C$10*C251^4)/(1+Coefficients!$C$3*C251+Coefficients!$C$5*C251^2+Coefficients!$C$7*C251^3+Coefficients!$C$9*C251^4+Coefficients!$C$11*C251^5)&gt;=100,100,(Coefficients!$C$2+Coefficients!$C$4*C251+Coefficients!$C$6*C251^2+Coefficients!$C$8*C251^3+Coefficients!$C$10*C251^4)/(1+Coefficients!$C$3*C251+Coefficients!$C$5*C251^2+Coefficients!$C$7*C251^3+Coefficients!$C$9*C251^4+Coefficients!$C$11*C251^5)))</f>
        <v>100</v>
      </c>
      <c r="E251" s="38">
        <f t="shared" si="39"/>
        <v>0</v>
      </c>
      <c r="F251" s="39">
        <f t="shared" si="40"/>
        <v>0</v>
      </c>
      <c r="G251" s="75">
        <f t="shared" si="41"/>
        <v>100</v>
      </c>
    </row>
    <row r="252" spans="1:7" ht="14.25" x14ac:dyDescent="0.2">
      <c r="A252" s="29">
        <f t="shared" si="37"/>
        <v>46260</v>
      </c>
      <c r="B252" s="35">
        <f t="shared" si="42"/>
        <v>52.829568788501028</v>
      </c>
      <c r="C252" s="36">
        <f t="shared" si="38"/>
        <v>120</v>
      </c>
      <c r="D252" s="37">
        <f>IF(C252&lt;=0,0,IF((Coefficients!$C$2+Coefficients!$C$4*C252+Coefficients!$C$6*C252^2+Coefficients!$C$8*C252^3+Coefficients!$C$10*C252^4)/(1+Coefficients!$C$3*C252+Coefficients!$C$5*C252^2+Coefficients!$C$7*C252^3+Coefficients!$C$9*C252^4+Coefficients!$C$11*C252^5)&gt;=100,100,(Coefficients!$C$2+Coefficients!$C$4*C252+Coefficients!$C$6*C252^2+Coefficients!$C$8*C252^3+Coefficients!$C$10*C252^4)/(1+Coefficients!$C$3*C252+Coefficients!$C$5*C252^2+Coefficients!$C$7*C252^3+Coefficients!$C$9*C252^4+Coefficients!$C$11*C252^5)))</f>
        <v>100</v>
      </c>
      <c r="E252" s="38">
        <f t="shared" si="39"/>
        <v>0</v>
      </c>
      <c r="F252" s="39">
        <f t="shared" si="40"/>
        <v>0</v>
      </c>
      <c r="G252" s="75">
        <f t="shared" si="41"/>
        <v>100</v>
      </c>
    </row>
    <row r="253" spans="1:7" ht="14.25" x14ac:dyDescent="0.2">
      <c r="A253" s="29">
        <f t="shared" si="37"/>
        <v>46260</v>
      </c>
      <c r="B253" s="35">
        <f t="shared" si="42"/>
        <v>52.829568788501028</v>
      </c>
      <c r="C253" s="36">
        <f t="shared" si="38"/>
        <v>120</v>
      </c>
      <c r="D253" s="37">
        <f>IF(C253&lt;=0,0,IF((Coefficients!$C$2+Coefficients!$C$4*C253+Coefficients!$C$6*C253^2+Coefficients!$C$8*C253^3+Coefficients!$C$10*C253^4)/(1+Coefficients!$C$3*C253+Coefficients!$C$5*C253^2+Coefficients!$C$7*C253^3+Coefficients!$C$9*C253^4+Coefficients!$C$11*C253^5)&gt;=100,100,(Coefficients!$C$2+Coefficients!$C$4*C253+Coefficients!$C$6*C253^2+Coefficients!$C$8*C253^3+Coefficients!$C$10*C253^4)/(1+Coefficients!$C$3*C253+Coefficients!$C$5*C253^2+Coefficients!$C$7*C253^3+Coefficients!$C$9*C253^4+Coefficients!$C$11*C253^5)))</f>
        <v>100</v>
      </c>
      <c r="E253" s="38">
        <f t="shared" si="39"/>
        <v>0</v>
      </c>
      <c r="F253" s="39">
        <f t="shared" si="40"/>
        <v>0</v>
      </c>
      <c r="G253" s="75">
        <f t="shared" si="41"/>
        <v>100</v>
      </c>
    </row>
    <row r="254" spans="1:7" ht="14.25" x14ac:dyDescent="0.2">
      <c r="A254" s="29">
        <f t="shared" si="37"/>
        <v>46260</v>
      </c>
      <c r="B254" s="35">
        <f t="shared" si="42"/>
        <v>52.829568788501028</v>
      </c>
      <c r="C254" s="36">
        <f t="shared" si="38"/>
        <v>120</v>
      </c>
      <c r="D254" s="37">
        <f>IF(C254&lt;=0,0,IF((Coefficients!$C$2+Coefficients!$C$4*C254+Coefficients!$C$6*C254^2+Coefficients!$C$8*C254^3+Coefficients!$C$10*C254^4)/(1+Coefficients!$C$3*C254+Coefficients!$C$5*C254^2+Coefficients!$C$7*C254^3+Coefficients!$C$9*C254^4+Coefficients!$C$11*C254^5)&gt;=100,100,(Coefficients!$C$2+Coefficients!$C$4*C254+Coefficients!$C$6*C254^2+Coefficients!$C$8*C254^3+Coefficients!$C$10*C254^4)/(1+Coefficients!$C$3*C254+Coefficients!$C$5*C254^2+Coefficients!$C$7*C254^3+Coefficients!$C$9*C254^4+Coefficients!$C$11*C254^5)))</f>
        <v>100</v>
      </c>
      <c r="E254" s="38">
        <f t="shared" si="39"/>
        <v>0</v>
      </c>
      <c r="F254" s="39">
        <f t="shared" si="40"/>
        <v>0</v>
      </c>
      <c r="G254" s="75">
        <f t="shared" si="41"/>
        <v>100</v>
      </c>
    </row>
    <row r="255" spans="1:7" ht="14.25" x14ac:dyDescent="0.2">
      <c r="A255" s="29">
        <f t="shared" si="37"/>
        <v>46260</v>
      </c>
      <c r="B255" s="35">
        <f t="shared" si="42"/>
        <v>52.829568788501028</v>
      </c>
      <c r="C255" s="36">
        <f t="shared" si="38"/>
        <v>120</v>
      </c>
      <c r="D255" s="37">
        <f>IF(C255&lt;=0,0,IF((Coefficients!$C$2+Coefficients!$C$4*C255+Coefficients!$C$6*C255^2+Coefficients!$C$8*C255^3+Coefficients!$C$10*C255^4)/(1+Coefficients!$C$3*C255+Coefficients!$C$5*C255^2+Coefficients!$C$7*C255^3+Coefficients!$C$9*C255^4+Coefficients!$C$11*C255^5)&gt;=100,100,(Coefficients!$C$2+Coefficients!$C$4*C255+Coefficients!$C$6*C255^2+Coefficients!$C$8*C255^3+Coefficients!$C$10*C255^4)/(1+Coefficients!$C$3*C255+Coefficients!$C$5*C255^2+Coefficients!$C$7*C255^3+Coefficients!$C$9*C255^4+Coefficients!$C$11*C255^5)))</f>
        <v>100</v>
      </c>
      <c r="E255" s="38">
        <f t="shared" si="39"/>
        <v>0</v>
      </c>
      <c r="F255" s="39">
        <f t="shared" si="40"/>
        <v>0</v>
      </c>
      <c r="G255" s="75">
        <f t="shared" si="41"/>
        <v>100</v>
      </c>
    </row>
    <row r="256" spans="1:7" ht="14.25" x14ac:dyDescent="0.2">
      <c r="A256" s="29">
        <f t="shared" si="37"/>
        <v>46260</v>
      </c>
      <c r="B256" s="35">
        <f t="shared" si="42"/>
        <v>52.829568788501028</v>
      </c>
      <c r="C256" s="36">
        <f t="shared" si="38"/>
        <v>120</v>
      </c>
      <c r="D256" s="37">
        <f>IF(C256&lt;=0,0,IF((Coefficients!$C$2+Coefficients!$C$4*C256+Coefficients!$C$6*C256^2+Coefficients!$C$8*C256^3+Coefficients!$C$10*C256^4)/(1+Coefficients!$C$3*C256+Coefficients!$C$5*C256^2+Coefficients!$C$7*C256^3+Coefficients!$C$9*C256^4+Coefficients!$C$11*C256^5)&gt;=100,100,(Coefficients!$C$2+Coefficients!$C$4*C256+Coefficients!$C$6*C256^2+Coefficients!$C$8*C256^3+Coefficients!$C$10*C256^4)/(1+Coefficients!$C$3*C256+Coefficients!$C$5*C256^2+Coefficients!$C$7*C256^3+Coefficients!$C$9*C256^4+Coefficients!$C$11*C256^5)))</f>
        <v>100</v>
      </c>
      <c r="E256" s="38">
        <f t="shared" si="39"/>
        <v>0</v>
      </c>
      <c r="F256" s="39">
        <f t="shared" si="40"/>
        <v>0</v>
      </c>
      <c r="G256" s="75">
        <f t="shared" si="41"/>
        <v>100</v>
      </c>
    </row>
    <row r="257" spans="1:7" ht="14.25" x14ac:dyDescent="0.2">
      <c r="A257" s="29">
        <f t="shared" si="37"/>
        <v>46260</v>
      </c>
      <c r="B257" s="35">
        <f t="shared" si="42"/>
        <v>52.829568788501028</v>
      </c>
      <c r="C257" s="36">
        <f t="shared" si="38"/>
        <v>120</v>
      </c>
      <c r="D257" s="37">
        <f>IF(C257&lt;=0,0,IF((Coefficients!$C$2+Coefficients!$C$4*C257+Coefficients!$C$6*C257^2+Coefficients!$C$8*C257^3+Coefficients!$C$10*C257^4)/(1+Coefficients!$C$3*C257+Coefficients!$C$5*C257^2+Coefficients!$C$7*C257^3+Coefficients!$C$9*C257^4+Coefficients!$C$11*C257^5)&gt;=100,100,(Coefficients!$C$2+Coefficients!$C$4*C257+Coefficients!$C$6*C257^2+Coefficients!$C$8*C257^3+Coefficients!$C$10*C257^4)/(1+Coefficients!$C$3*C257+Coefficients!$C$5*C257^2+Coefficients!$C$7*C257^3+Coefficients!$C$9*C257^4+Coefficients!$C$11*C257^5)))</f>
        <v>100</v>
      </c>
      <c r="E257" s="38">
        <f t="shared" si="39"/>
        <v>0</v>
      </c>
      <c r="F257" s="39">
        <f t="shared" si="40"/>
        <v>0</v>
      </c>
      <c r="G257" s="75">
        <f t="shared" si="41"/>
        <v>100</v>
      </c>
    </row>
    <row r="258" spans="1:7" ht="14.25" x14ac:dyDescent="0.2">
      <c r="A258" s="29">
        <f t="shared" si="37"/>
        <v>46260</v>
      </c>
      <c r="B258" s="35">
        <f t="shared" si="42"/>
        <v>52.829568788501028</v>
      </c>
      <c r="C258" s="36">
        <f t="shared" si="38"/>
        <v>120</v>
      </c>
      <c r="D258" s="37">
        <f>IF(C258&lt;=0,0,IF((Coefficients!$C$2+Coefficients!$C$4*C258+Coefficients!$C$6*C258^2+Coefficients!$C$8*C258^3+Coefficients!$C$10*C258^4)/(1+Coefficients!$C$3*C258+Coefficients!$C$5*C258^2+Coefficients!$C$7*C258^3+Coefficients!$C$9*C258^4+Coefficients!$C$11*C258^5)&gt;=100,100,(Coefficients!$C$2+Coefficients!$C$4*C258+Coefficients!$C$6*C258^2+Coefficients!$C$8*C258^3+Coefficients!$C$10*C258^4)/(1+Coefficients!$C$3*C258+Coefficients!$C$5*C258^2+Coefficients!$C$7*C258^3+Coefficients!$C$9*C258^4+Coefficients!$C$11*C258^5)))</f>
        <v>100</v>
      </c>
      <c r="E258" s="38">
        <f t="shared" si="39"/>
        <v>0</v>
      </c>
      <c r="F258" s="39">
        <f t="shared" si="40"/>
        <v>0</v>
      </c>
      <c r="G258" s="75">
        <f t="shared" si="41"/>
        <v>100</v>
      </c>
    </row>
    <row r="259" spans="1:7" ht="14.25" x14ac:dyDescent="0.2">
      <c r="A259" s="29">
        <f t="shared" si="37"/>
        <v>46260</v>
      </c>
      <c r="B259" s="35">
        <f t="shared" si="42"/>
        <v>52.829568788501028</v>
      </c>
      <c r="C259" s="36">
        <f t="shared" si="38"/>
        <v>120</v>
      </c>
      <c r="D259" s="37">
        <f>IF(C259&lt;=0,0,IF((Coefficients!$C$2+Coefficients!$C$4*C259+Coefficients!$C$6*C259^2+Coefficients!$C$8*C259^3+Coefficients!$C$10*C259^4)/(1+Coefficients!$C$3*C259+Coefficients!$C$5*C259^2+Coefficients!$C$7*C259^3+Coefficients!$C$9*C259^4+Coefficients!$C$11*C259^5)&gt;=100,100,(Coefficients!$C$2+Coefficients!$C$4*C259+Coefficients!$C$6*C259^2+Coefficients!$C$8*C259^3+Coefficients!$C$10*C259^4)/(1+Coefficients!$C$3*C259+Coefficients!$C$5*C259^2+Coefficients!$C$7*C259^3+Coefficients!$C$9*C259^4+Coefficients!$C$11*C259^5)))</f>
        <v>100</v>
      </c>
      <c r="E259" s="38">
        <f t="shared" si="39"/>
        <v>0</v>
      </c>
      <c r="F259" s="39">
        <f t="shared" si="40"/>
        <v>0</v>
      </c>
      <c r="G259" s="75">
        <f t="shared" si="41"/>
        <v>100</v>
      </c>
    </row>
    <row r="260" spans="1:7" ht="14.25" x14ac:dyDescent="0.2">
      <c r="A260" s="29">
        <f t="shared" si="37"/>
        <v>46260</v>
      </c>
      <c r="B260" s="35">
        <f t="shared" si="42"/>
        <v>52.829568788501028</v>
      </c>
      <c r="C260" s="36">
        <f t="shared" si="38"/>
        <v>120</v>
      </c>
      <c r="D260" s="37">
        <f>IF(C260&lt;=0,0,IF((Coefficients!$C$2+Coefficients!$C$4*C260+Coefficients!$C$6*C260^2+Coefficients!$C$8*C260^3+Coefficients!$C$10*C260^4)/(1+Coefficients!$C$3*C260+Coefficients!$C$5*C260^2+Coefficients!$C$7*C260^3+Coefficients!$C$9*C260^4+Coefficients!$C$11*C260^5)&gt;=100,100,(Coefficients!$C$2+Coefficients!$C$4*C260+Coefficients!$C$6*C260^2+Coefficients!$C$8*C260^3+Coefficients!$C$10*C260^4)/(1+Coefficients!$C$3*C260+Coefficients!$C$5*C260^2+Coefficients!$C$7*C260^3+Coefficients!$C$9*C260^4+Coefficients!$C$11*C260^5)))</f>
        <v>100</v>
      </c>
      <c r="E260" s="38">
        <f t="shared" si="39"/>
        <v>0</v>
      </c>
      <c r="F260" s="39">
        <f t="shared" si="40"/>
        <v>0</v>
      </c>
      <c r="G260" s="75">
        <f t="shared" si="41"/>
        <v>100</v>
      </c>
    </row>
    <row r="261" spans="1:7" ht="14.25" x14ac:dyDescent="0.2">
      <c r="A261" s="29">
        <f t="shared" si="37"/>
        <v>46260</v>
      </c>
      <c r="B261" s="35">
        <f t="shared" si="42"/>
        <v>52.829568788501028</v>
      </c>
      <c r="C261" s="36">
        <f t="shared" si="38"/>
        <v>120</v>
      </c>
      <c r="D261" s="37">
        <f>IF(C261&lt;=0,0,IF((Coefficients!$C$2+Coefficients!$C$4*C261+Coefficients!$C$6*C261^2+Coefficients!$C$8*C261^3+Coefficients!$C$10*C261^4)/(1+Coefficients!$C$3*C261+Coefficients!$C$5*C261^2+Coefficients!$C$7*C261^3+Coefficients!$C$9*C261^4+Coefficients!$C$11*C261^5)&gt;=100,100,(Coefficients!$C$2+Coefficients!$C$4*C261+Coefficients!$C$6*C261^2+Coefficients!$C$8*C261^3+Coefficients!$C$10*C261^4)/(1+Coefficients!$C$3*C261+Coefficients!$C$5*C261^2+Coefficients!$C$7*C261^3+Coefficients!$C$9*C261^4+Coefficients!$C$11*C261^5)))</f>
        <v>100</v>
      </c>
      <c r="E261" s="38">
        <f t="shared" si="39"/>
        <v>0</v>
      </c>
      <c r="F261" s="39">
        <f t="shared" si="40"/>
        <v>0</v>
      </c>
      <c r="G261" s="75">
        <f t="shared" si="41"/>
        <v>100</v>
      </c>
    </row>
    <row r="262" spans="1:7" ht="14.25" x14ac:dyDescent="0.2">
      <c r="A262" s="29">
        <f t="shared" si="37"/>
        <v>46260</v>
      </c>
      <c r="B262" s="35">
        <f t="shared" si="42"/>
        <v>52.829568788501028</v>
      </c>
      <c r="C262" s="36">
        <f t="shared" si="38"/>
        <v>120</v>
      </c>
      <c r="D262" s="37">
        <f>IF(C262&lt;=0,0,IF((Coefficients!$C$2+Coefficients!$C$4*C262+Coefficients!$C$6*C262^2+Coefficients!$C$8*C262^3+Coefficients!$C$10*C262^4)/(1+Coefficients!$C$3*C262+Coefficients!$C$5*C262^2+Coefficients!$C$7*C262^3+Coefficients!$C$9*C262^4+Coefficients!$C$11*C262^5)&gt;=100,100,(Coefficients!$C$2+Coefficients!$C$4*C262+Coefficients!$C$6*C262^2+Coefficients!$C$8*C262^3+Coefficients!$C$10*C262^4)/(1+Coefficients!$C$3*C262+Coefficients!$C$5*C262^2+Coefficients!$C$7*C262^3+Coefficients!$C$9*C262^4+Coefficients!$C$11*C262^5)))</f>
        <v>100</v>
      </c>
      <c r="E262" s="38">
        <f t="shared" si="39"/>
        <v>0</v>
      </c>
      <c r="F262" s="39">
        <f t="shared" si="40"/>
        <v>0</v>
      </c>
      <c r="G262" s="75">
        <f t="shared" si="41"/>
        <v>100</v>
      </c>
    </row>
    <row r="263" spans="1:7" ht="14.25" x14ac:dyDescent="0.2">
      <c r="A263" s="29">
        <f t="shared" si="37"/>
        <v>46260</v>
      </c>
      <c r="B263" s="35">
        <f t="shared" si="42"/>
        <v>52.829568788501028</v>
      </c>
      <c r="C263" s="36">
        <f t="shared" si="38"/>
        <v>120</v>
      </c>
      <c r="D263" s="37">
        <f>IF(C263&lt;=0,0,IF((Coefficients!$C$2+Coefficients!$C$4*C263+Coefficients!$C$6*C263^2+Coefficients!$C$8*C263^3+Coefficients!$C$10*C263^4)/(1+Coefficients!$C$3*C263+Coefficients!$C$5*C263^2+Coefficients!$C$7*C263^3+Coefficients!$C$9*C263^4+Coefficients!$C$11*C263^5)&gt;=100,100,(Coefficients!$C$2+Coefficients!$C$4*C263+Coefficients!$C$6*C263^2+Coefficients!$C$8*C263^3+Coefficients!$C$10*C263^4)/(1+Coefficients!$C$3*C263+Coefficients!$C$5*C263^2+Coefficients!$C$7*C263^3+Coefficients!$C$9*C263^4+Coefficients!$C$11*C263^5)))</f>
        <v>100</v>
      </c>
      <c r="E263" s="38">
        <f t="shared" si="39"/>
        <v>0</v>
      </c>
      <c r="F263" s="39">
        <f t="shared" si="40"/>
        <v>0</v>
      </c>
      <c r="G263" s="75">
        <f t="shared" si="41"/>
        <v>100</v>
      </c>
    </row>
    <row r="264" spans="1:7" ht="14.25" x14ac:dyDescent="0.2">
      <c r="A264" s="29">
        <f t="shared" si="37"/>
        <v>46260</v>
      </c>
      <c r="B264" s="35">
        <f t="shared" si="42"/>
        <v>52.829568788501028</v>
      </c>
      <c r="C264" s="36">
        <f t="shared" si="38"/>
        <v>120</v>
      </c>
      <c r="D264" s="37">
        <f>IF(C264&lt;=0,0,IF((Coefficients!$C$2+Coefficients!$C$4*C264+Coefficients!$C$6*C264^2+Coefficients!$C$8*C264^3+Coefficients!$C$10*C264^4)/(1+Coefficients!$C$3*C264+Coefficients!$C$5*C264^2+Coefficients!$C$7*C264^3+Coefficients!$C$9*C264^4+Coefficients!$C$11*C264^5)&gt;=100,100,(Coefficients!$C$2+Coefficients!$C$4*C264+Coefficients!$C$6*C264^2+Coefficients!$C$8*C264^3+Coefficients!$C$10*C264^4)/(1+Coefficients!$C$3*C264+Coefficients!$C$5*C264^2+Coefficients!$C$7*C264^3+Coefficients!$C$9*C264^4+Coefficients!$C$11*C264^5)))</f>
        <v>100</v>
      </c>
      <c r="E264" s="38">
        <f t="shared" si="39"/>
        <v>0</v>
      </c>
      <c r="F264" s="39">
        <f t="shared" si="40"/>
        <v>0</v>
      </c>
      <c r="G264" s="75">
        <f t="shared" si="41"/>
        <v>100</v>
      </c>
    </row>
    <row r="265" spans="1:7" ht="14.25" x14ac:dyDescent="0.2">
      <c r="A265" s="29">
        <f t="shared" si="37"/>
        <v>46260</v>
      </c>
      <c r="B265" s="35">
        <f t="shared" si="42"/>
        <v>52.829568788501028</v>
      </c>
      <c r="C265" s="36">
        <f t="shared" si="38"/>
        <v>120</v>
      </c>
      <c r="D265" s="37">
        <f>IF(C265&lt;=0,0,IF((Coefficients!$C$2+Coefficients!$C$4*C265+Coefficients!$C$6*C265^2+Coefficients!$C$8*C265^3+Coefficients!$C$10*C265^4)/(1+Coefficients!$C$3*C265+Coefficients!$C$5*C265^2+Coefficients!$C$7*C265^3+Coefficients!$C$9*C265^4+Coefficients!$C$11*C265^5)&gt;=100,100,(Coefficients!$C$2+Coefficients!$C$4*C265+Coefficients!$C$6*C265^2+Coefficients!$C$8*C265^3+Coefficients!$C$10*C265^4)/(1+Coefficients!$C$3*C265+Coefficients!$C$5*C265^2+Coefficients!$C$7*C265^3+Coefficients!$C$9*C265^4+Coefficients!$C$11*C265^5)))</f>
        <v>100</v>
      </c>
      <c r="E265" s="38">
        <f t="shared" si="39"/>
        <v>0</v>
      </c>
      <c r="F265" s="39">
        <f t="shared" si="40"/>
        <v>0</v>
      </c>
      <c r="G265" s="75">
        <f t="shared" si="41"/>
        <v>100</v>
      </c>
    </row>
    <row r="266" spans="1:7" ht="14.25" x14ac:dyDescent="0.2">
      <c r="A266" s="29">
        <f t="shared" ref="A266:A300" si="43">A265+((B266-B265)*365.25/12)</f>
        <v>46260</v>
      </c>
      <c r="B266" s="35">
        <f t="shared" si="42"/>
        <v>52.829568788501028</v>
      </c>
      <c r="C266" s="36">
        <f t="shared" ref="C266:C300" si="44">+B266/$C$5*100</f>
        <v>120</v>
      </c>
      <c r="D266" s="37">
        <f>IF(C266&lt;=0,0,IF((Coefficients!$C$2+Coefficients!$C$4*C266+Coefficients!$C$6*C266^2+Coefficients!$C$8*C266^3+Coefficients!$C$10*C266^4)/(1+Coefficients!$C$3*C266+Coefficients!$C$5*C266^2+Coefficients!$C$7*C266^3+Coefficients!$C$9*C266^4+Coefficients!$C$11*C266^5)&gt;=100,100,(Coefficients!$C$2+Coefficients!$C$4*C266+Coefficients!$C$6*C266^2+Coefficients!$C$8*C266^3+Coefficients!$C$10*C266^4)/(1+Coefficients!$C$3*C266+Coefficients!$C$5*C266^2+Coefficients!$C$7*C266^3+Coefficients!$C$9*C266^4+Coefficients!$C$11*C266^5)))</f>
        <v>100</v>
      </c>
      <c r="E266" s="38">
        <f t="shared" ref="E266:E300" si="45">+D266-D265</f>
        <v>0</v>
      </c>
      <c r="F266" s="39">
        <f t="shared" ref="F266:F300" si="46">$C$6*(E266/100)</f>
        <v>0</v>
      </c>
      <c r="G266" s="75">
        <f t="shared" ref="G266:G300" si="47">IF(D265=100,G265,G265+F266)</f>
        <v>100</v>
      </c>
    </row>
    <row r="267" spans="1:7" ht="14.25" x14ac:dyDescent="0.2">
      <c r="A267" s="29">
        <f t="shared" si="43"/>
        <v>46260</v>
      </c>
      <c r="B267" s="35">
        <f t="shared" si="42"/>
        <v>52.829568788501028</v>
      </c>
      <c r="C267" s="36">
        <f t="shared" si="44"/>
        <v>120</v>
      </c>
      <c r="D267" s="37">
        <f>IF(C267&lt;=0,0,IF((Coefficients!$C$2+Coefficients!$C$4*C267+Coefficients!$C$6*C267^2+Coefficients!$C$8*C267^3+Coefficients!$C$10*C267^4)/(1+Coefficients!$C$3*C267+Coefficients!$C$5*C267^2+Coefficients!$C$7*C267^3+Coefficients!$C$9*C267^4+Coefficients!$C$11*C267^5)&gt;=100,100,(Coefficients!$C$2+Coefficients!$C$4*C267+Coefficients!$C$6*C267^2+Coefficients!$C$8*C267^3+Coefficients!$C$10*C267^4)/(1+Coefficients!$C$3*C267+Coefficients!$C$5*C267^2+Coefficients!$C$7*C267^3+Coefficients!$C$9*C267^4+Coefficients!$C$11*C267^5)))</f>
        <v>100</v>
      </c>
      <c r="E267" s="38">
        <f t="shared" si="45"/>
        <v>0</v>
      </c>
      <c r="F267" s="39">
        <f t="shared" si="46"/>
        <v>0</v>
      </c>
      <c r="G267" s="75">
        <f t="shared" si="47"/>
        <v>100</v>
      </c>
    </row>
    <row r="268" spans="1:7" ht="14.25" x14ac:dyDescent="0.2">
      <c r="A268" s="29">
        <f t="shared" si="43"/>
        <v>46260</v>
      </c>
      <c r="B268" s="35">
        <f t="shared" si="42"/>
        <v>52.829568788501028</v>
      </c>
      <c r="C268" s="36">
        <f t="shared" si="44"/>
        <v>120</v>
      </c>
      <c r="D268" s="37">
        <f>IF(C268&lt;=0,0,IF((Coefficients!$C$2+Coefficients!$C$4*C268+Coefficients!$C$6*C268^2+Coefficients!$C$8*C268^3+Coefficients!$C$10*C268^4)/(1+Coefficients!$C$3*C268+Coefficients!$C$5*C268^2+Coefficients!$C$7*C268^3+Coefficients!$C$9*C268^4+Coefficients!$C$11*C268^5)&gt;=100,100,(Coefficients!$C$2+Coefficients!$C$4*C268+Coefficients!$C$6*C268^2+Coefficients!$C$8*C268^3+Coefficients!$C$10*C268^4)/(1+Coefficients!$C$3*C268+Coefficients!$C$5*C268^2+Coefficients!$C$7*C268^3+Coefficients!$C$9*C268^4+Coefficients!$C$11*C268^5)))</f>
        <v>100</v>
      </c>
      <c r="E268" s="38">
        <f t="shared" si="45"/>
        <v>0</v>
      </c>
      <c r="F268" s="39">
        <f t="shared" si="46"/>
        <v>0</v>
      </c>
      <c r="G268" s="75">
        <f t="shared" si="47"/>
        <v>100</v>
      </c>
    </row>
    <row r="269" spans="1:7" ht="14.25" x14ac:dyDescent="0.2">
      <c r="A269" s="29">
        <f t="shared" si="43"/>
        <v>46260</v>
      </c>
      <c r="B269" s="35">
        <f t="shared" si="42"/>
        <v>52.829568788501028</v>
      </c>
      <c r="C269" s="36">
        <f t="shared" si="44"/>
        <v>120</v>
      </c>
      <c r="D269" s="37">
        <f>IF(C269&lt;=0,0,IF((Coefficients!$C$2+Coefficients!$C$4*C269+Coefficients!$C$6*C269^2+Coefficients!$C$8*C269^3+Coefficients!$C$10*C269^4)/(1+Coefficients!$C$3*C269+Coefficients!$C$5*C269^2+Coefficients!$C$7*C269^3+Coefficients!$C$9*C269^4+Coefficients!$C$11*C269^5)&gt;=100,100,(Coefficients!$C$2+Coefficients!$C$4*C269+Coefficients!$C$6*C269^2+Coefficients!$C$8*C269^3+Coefficients!$C$10*C269^4)/(1+Coefficients!$C$3*C269+Coefficients!$C$5*C269^2+Coefficients!$C$7*C269^3+Coefficients!$C$9*C269^4+Coefficients!$C$11*C269^5)))</f>
        <v>100</v>
      </c>
      <c r="E269" s="38">
        <f t="shared" si="45"/>
        <v>0</v>
      </c>
      <c r="F269" s="39">
        <f t="shared" si="46"/>
        <v>0</v>
      </c>
      <c r="G269" s="75">
        <f t="shared" si="47"/>
        <v>100</v>
      </c>
    </row>
    <row r="270" spans="1:7" ht="14.25" x14ac:dyDescent="0.2">
      <c r="A270" s="29">
        <f t="shared" si="43"/>
        <v>46260</v>
      </c>
      <c r="B270" s="35">
        <f t="shared" si="42"/>
        <v>52.829568788501028</v>
      </c>
      <c r="C270" s="36">
        <f t="shared" si="44"/>
        <v>120</v>
      </c>
      <c r="D270" s="37">
        <f>IF(C270&lt;=0,0,IF((Coefficients!$C$2+Coefficients!$C$4*C270+Coefficients!$C$6*C270^2+Coefficients!$C$8*C270^3+Coefficients!$C$10*C270^4)/(1+Coefficients!$C$3*C270+Coefficients!$C$5*C270^2+Coefficients!$C$7*C270^3+Coefficients!$C$9*C270^4+Coefficients!$C$11*C270^5)&gt;=100,100,(Coefficients!$C$2+Coefficients!$C$4*C270+Coefficients!$C$6*C270^2+Coefficients!$C$8*C270^3+Coefficients!$C$10*C270^4)/(1+Coefficients!$C$3*C270+Coefficients!$C$5*C270^2+Coefficients!$C$7*C270^3+Coefficients!$C$9*C270^4+Coefficients!$C$11*C270^5)))</f>
        <v>100</v>
      </c>
      <c r="E270" s="38">
        <f t="shared" si="45"/>
        <v>0</v>
      </c>
      <c r="F270" s="39">
        <f t="shared" si="46"/>
        <v>0</v>
      </c>
      <c r="G270" s="75">
        <f t="shared" si="47"/>
        <v>100</v>
      </c>
    </row>
    <row r="271" spans="1:7" ht="14.25" x14ac:dyDescent="0.2">
      <c r="A271" s="29">
        <f t="shared" si="43"/>
        <v>46260</v>
      </c>
      <c r="B271" s="35">
        <f t="shared" si="42"/>
        <v>52.829568788501028</v>
      </c>
      <c r="C271" s="36">
        <f t="shared" si="44"/>
        <v>120</v>
      </c>
      <c r="D271" s="37">
        <f>IF(C271&lt;=0,0,IF((Coefficients!$C$2+Coefficients!$C$4*C271+Coefficients!$C$6*C271^2+Coefficients!$C$8*C271^3+Coefficients!$C$10*C271^4)/(1+Coefficients!$C$3*C271+Coefficients!$C$5*C271^2+Coefficients!$C$7*C271^3+Coefficients!$C$9*C271^4+Coefficients!$C$11*C271^5)&gt;=100,100,(Coefficients!$C$2+Coefficients!$C$4*C271+Coefficients!$C$6*C271^2+Coefficients!$C$8*C271^3+Coefficients!$C$10*C271^4)/(1+Coefficients!$C$3*C271+Coefficients!$C$5*C271^2+Coefficients!$C$7*C271^3+Coefficients!$C$9*C271^4+Coefficients!$C$11*C271^5)))</f>
        <v>100</v>
      </c>
      <c r="E271" s="38">
        <f t="shared" si="45"/>
        <v>0</v>
      </c>
      <c r="F271" s="39">
        <f t="shared" si="46"/>
        <v>0</v>
      </c>
      <c r="G271" s="75">
        <f t="shared" si="47"/>
        <v>100</v>
      </c>
    </row>
    <row r="272" spans="1:7" ht="14.25" x14ac:dyDescent="0.2">
      <c r="A272" s="29">
        <f t="shared" si="43"/>
        <v>46260</v>
      </c>
      <c r="B272" s="35">
        <f t="shared" si="42"/>
        <v>52.829568788501028</v>
      </c>
      <c r="C272" s="36">
        <f t="shared" si="44"/>
        <v>120</v>
      </c>
      <c r="D272" s="37">
        <f>IF(C272&lt;=0,0,IF((Coefficients!$C$2+Coefficients!$C$4*C272+Coefficients!$C$6*C272^2+Coefficients!$C$8*C272^3+Coefficients!$C$10*C272^4)/(1+Coefficients!$C$3*C272+Coefficients!$C$5*C272^2+Coefficients!$C$7*C272^3+Coefficients!$C$9*C272^4+Coefficients!$C$11*C272^5)&gt;=100,100,(Coefficients!$C$2+Coefficients!$C$4*C272+Coefficients!$C$6*C272^2+Coefficients!$C$8*C272^3+Coefficients!$C$10*C272^4)/(1+Coefficients!$C$3*C272+Coefficients!$C$5*C272^2+Coefficients!$C$7*C272^3+Coefficients!$C$9*C272^4+Coefficients!$C$11*C272^5)))</f>
        <v>100</v>
      </c>
      <c r="E272" s="38">
        <f t="shared" si="45"/>
        <v>0</v>
      </c>
      <c r="F272" s="39">
        <f t="shared" si="46"/>
        <v>0</v>
      </c>
      <c r="G272" s="75">
        <f t="shared" si="47"/>
        <v>100</v>
      </c>
    </row>
    <row r="273" spans="1:7" ht="14.25" x14ac:dyDescent="0.2">
      <c r="A273" s="29">
        <f t="shared" si="43"/>
        <v>46260</v>
      </c>
      <c r="B273" s="35">
        <f t="shared" si="42"/>
        <v>52.829568788501028</v>
      </c>
      <c r="C273" s="36">
        <f t="shared" si="44"/>
        <v>120</v>
      </c>
      <c r="D273" s="37">
        <f>IF(C273&lt;=0,0,IF((Coefficients!$C$2+Coefficients!$C$4*C273+Coefficients!$C$6*C273^2+Coefficients!$C$8*C273^3+Coefficients!$C$10*C273^4)/(1+Coefficients!$C$3*C273+Coefficients!$C$5*C273^2+Coefficients!$C$7*C273^3+Coefficients!$C$9*C273^4+Coefficients!$C$11*C273^5)&gt;=100,100,(Coefficients!$C$2+Coefficients!$C$4*C273+Coefficients!$C$6*C273^2+Coefficients!$C$8*C273^3+Coefficients!$C$10*C273^4)/(1+Coefficients!$C$3*C273+Coefficients!$C$5*C273^2+Coefficients!$C$7*C273^3+Coefficients!$C$9*C273^4+Coefficients!$C$11*C273^5)))</f>
        <v>100</v>
      </c>
      <c r="E273" s="38">
        <f t="shared" si="45"/>
        <v>0</v>
      </c>
      <c r="F273" s="39">
        <f t="shared" si="46"/>
        <v>0</v>
      </c>
      <c r="G273" s="75">
        <f t="shared" si="47"/>
        <v>100</v>
      </c>
    </row>
    <row r="274" spans="1:7" ht="14.25" x14ac:dyDescent="0.2">
      <c r="A274" s="29">
        <f t="shared" si="43"/>
        <v>46260</v>
      </c>
      <c r="B274" s="35">
        <f t="shared" si="42"/>
        <v>52.829568788501028</v>
      </c>
      <c r="C274" s="36">
        <f t="shared" si="44"/>
        <v>120</v>
      </c>
      <c r="D274" s="37">
        <f>IF(C274&lt;=0,0,IF((Coefficients!$C$2+Coefficients!$C$4*C274+Coefficients!$C$6*C274^2+Coefficients!$C$8*C274^3+Coefficients!$C$10*C274^4)/(1+Coefficients!$C$3*C274+Coefficients!$C$5*C274^2+Coefficients!$C$7*C274^3+Coefficients!$C$9*C274^4+Coefficients!$C$11*C274^5)&gt;=100,100,(Coefficients!$C$2+Coefficients!$C$4*C274+Coefficients!$C$6*C274^2+Coefficients!$C$8*C274^3+Coefficients!$C$10*C274^4)/(1+Coefficients!$C$3*C274+Coefficients!$C$5*C274^2+Coefficients!$C$7*C274^3+Coefficients!$C$9*C274^4+Coefficients!$C$11*C274^5)))</f>
        <v>100</v>
      </c>
      <c r="E274" s="38">
        <f t="shared" si="45"/>
        <v>0</v>
      </c>
      <c r="F274" s="39">
        <f t="shared" si="46"/>
        <v>0</v>
      </c>
      <c r="G274" s="75">
        <f t="shared" si="47"/>
        <v>100</v>
      </c>
    </row>
    <row r="275" spans="1:7" ht="14.25" x14ac:dyDescent="0.2">
      <c r="A275" s="29">
        <f t="shared" si="43"/>
        <v>46260</v>
      </c>
      <c r="B275" s="35">
        <f t="shared" si="42"/>
        <v>52.829568788501028</v>
      </c>
      <c r="C275" s="36">
        <f t="shared" si="44"/>
        <v>120</v>
      </c>
      <c r="D275" s="37">
        <f>IF(C275&lt;=0,0,IF((Coefficients!$C$2+Coefficients!$C$4*C275+Coefficients!$C$6*C275^2+Coefficients!$C$8*C275^3+Coefficients!$C$10*C275^4)/(1+Coefficients!$C$3*C275+Coefficients!$C$5*C275^2+Coefficients!$C$7*C275^3+Coefficients!$C$9*C275^4+Coefficients!$C$11*C275^5)&gt;=100,100,(Coefficients!$C$2+Coefficients!$C$4*C275+Coefficients!$C$6*C275^2+Coefficients!$C$8*C275^3+Coefficients!$C$10*C275^4)/(1+Coefficients!$C$3*C275+Coefficients!$C$5*C275^2+Coefficients!$C$7*C275^3+Coefficients!$C$9*C275^4+Coefficients!$C$11*C275^5)))</f>
        <v>100</v>
      </c>
      <c r="E275" s="38">
        <f t="shared" si="45"/>
        <v>0</v>
      </c>
      <c r="F275" s="39">
        <f t="shared" si="46"/>
        <v>0</v>
      </c>
      <c r="G275" s="75">
        <f t="shared" si="47"/>
        <v>100</v>
      </c>
    </row>
    <row r="276" spans="1:7" ht="14.25" x14ac:dyDescent="0.2">
      <c r="A276" s="29">
        <f t="shared" si="43"/>
        <v>46260</v>
      </c>
      <c r="B276" s="35">
        <f t="shared" si="42"/>
        <v>52.829568788501028</v>
      </c>
      <c r="C276" s="36">
        <f t="shared" si="44"/>
        <v>120</v>
      </c>
      <c r="D276" s="37">
        <f>IF(C276&lt;=0,0,IF((Coefficients!$C$2+Coefficients!$C$4*C276+Coefficients!$C$6*C276^2+Coefficients!$C$8*C276^3+Coefficients!$C$10*C276^4)/(1+Coefficients!$C$3*C276+Coefficients!$C$5*C276^2+Coefficients!$C$7*C276^3+Coefficients!$C$9*C276^4+Coefficients!$C$11*C276^5)&gt;=100,100,(Coefficients!$C$2+Coefficients!$C$4*C276+Coefficients!$C$6*C276^2+Coefficients!$C$8*C276^3+Coefficients!$C$10*C276^4)/(1+Coefficients!$C$3*C276+Coefficients!$C$5*C276^2+Coefficients!$C$7*C276^3+Coefficients!$C$9*C276^4+Coefficients!$C$11*C276^5)))</f>
        <v>100</v>
      </c>
      <c r="E276" s="38">
        <f t="shared" si="45"/>
        <v>0</v>
      </c>
      <c r="F276" s="39">
        <f t="shared" si="46"/>
        <v>0</v>
      </c>
      <c r="G276" s="75">
        <f t="shared" si="47"/>
        <v>100</v>
      </c>
    </row>
    <row r="277" spans="1:7" ht="14.25" x14ac:dyDescent="0.2">
      <c r="A277" s="29">
        <f t="shared" si="43"/>
        <v>46260</v>
      </c>
      <c r="B277" s="35">
        <f t="shared" si="42"/>
        <v>52.829568788501028</v>
      </c>
      <c r="C277" s="36">
        <f t="shared" si="44"/>
        <v>120</v>
      </c>
      <c r="D277" s="37">
        <f>IF(C277&lt;=0,0,IF((Coefficients!$C$2+Coefficients!$C$4*C277+Coefficients!$C$6*C277^2+Coefficients!$C$8*C277^3+Coefficients!$C$10*C277^4)/(1+Coefficients!$C$3*C277+Coefficients!$C$5*C277^2+Coefficients!$C$7*C277^3+Coefficients!$C$9*C277^4+Coefficients!$C$11*C277^5)&gt;=100,100,(Coefficients!$C$2+Coefficients!$C$4*C277+Coefficients!$C$6*C277^2+Coefficients!$C$8*C277^3+Coefficients!$C$10*C277^4)/(1+Coefficients!$C$3*C277+Coefficients!$C$5*C277^2+Coefficients!$C$7*C277^3+Coefficients!$C$9*C277^4+Coefficients!$C$11*C277^5)))</f>
        <v>100</v>
      </c>
      <c r="E277" s="38">
        <f t="shared" si="45"/>
        <v>0</v>
      </c>
      <c r="F277" s="39">
        <f t="shared" si="46"/>
        <v>0</v>
      </c>
      <c r="G277" s="75">
        <f t="shared" si="47"/>
        <v>100</v>
      </c>
    </row>
    <row r="278" spans="1:7" ht="14.25" x14ac:dyDescent="0.2">
      <c r="A278" s="29">
        <f t="shared" si="43"/>
        <v>46260</v>
      </c>
      <c r="B278" s="35">
        <f t="shared" si="42"/>
        <v>52.829568788501028</v>
      </c>
      <c r="C278" s="36">
        <f t="shared" si="44"/>
        <v>120</v>
      </c>
      <c r="D278" s="37">
        <f>IF(C278&lt;=0,0,IF((Coefficients!$C$2+Coefficients!$C$4*C278+Coefficients!$C$6*C278^2+Coefficients!$C$8*C278^3+Coefficients!$C$10*C278^4)/(1+Coefficients!$C$3*C278+Coefficients!$C$5*C278^2+Coefficients!$C$7*C278^3+Coefficients!$C$9*C278^4+Coefficients!$C$11*C278^5)&gt;=100,100,(Coefficients!$C$2+Coefficients!$C$4*C278+Coefficients!$C$6*C278^2+Coefficients!$C$8*C278^3+Coefficients!$C$10*C278^4)/(1+Coefficients!$C$3*C278+Coefficients!$C$5*C278^2+Coefficients!$C$7*C278^3+Coefficients!$C$9*C278^4+Coefficients!$C$11*C278^5)))</f>
        <v>100</v>
      </c>
      <c r="E278" s="38">
        <f t="shared" si="45"/>
        <v>0</v>
      </c>
      <c r="F278" s="39">
        <f t="shared" si="46"/>
        <v>0</v>
      </c>
      <c r="G278" s="75">
        <f t="shared" si="47"/>
        <v>100</v>
      </c>
    </row>
    <row r="279" spans="1:7" ht="14.25" x14ac:dyDescent="0.2">
      <c r="A279" s="29">
        <f t="shared" si="43"/>
        <v>46260</v>
      </c>
      <c r="B279" s="35">
        <f t="shared" si="42"/>
        <v>52.829568788501028</v>
      </c>
      <c r="C279" s="36">
        <f t="shared" si="44"/>
        <v>120</v>
      </c>
      <c r="D279" s="37">
        <f>IF(C279&lt;=0,0,IF((Coefficients!$C$2+Coefficients!$C$4*C279+Coefficients!$C$6*C279^2+Coefficients!$C$8*C279^3+Coefficients!$C$10*C279^4)/(1+Coefficients!$C$3*C279+Coefficients!$C$5*C279^2+Coefficients!$C$7*C279^3+Coefficients!$C$9*C279^4+Coefficients!$C$11*C279^5)&gt;=100,100,(Coefficients!$C$2+Coefficients!$C$4*C279+Coefficients!$C$6*C279^2+Coefficients!$C$8*C279^3+Coefficients!$C$10*C279^4)/(1+Coefficients!$C$3*C279+Coefficients!$C$5*C279^2+Coefficients!$C$7*C279^3+Coefficients!$C$9*C279^4+Coefficients!$C$11*C279^5)))</f>
        <v>100</v>
      </c>
      <c r="E279" s="38">
        <f t="shared" si="45"/>
        <v>0</v>
      </c>
      <c r="F279" s="39">
        <f t="shared" si="46"/>
        <v>0</v>
      </c>
      <c r="G279" s="75">
        <f t="shared" si="47"/>
        <v>100</v>
      </c>
    </row>
    <row r="280" spans="1:7" ht="14.25" x14ac:dyDescent="0.2">
      <c r="A280" s="29">
        <f t="shared" si="43"/>
        <v>46260</v>
      </c>
      <c r="B280" s="35">
        <f t="shared" si="42"/>
        <v>52.829568788501028</v>
      </c>
      <c r="C280" s="36">
        <f t="shared" si="44"/>
        <v>120</v>
      </c>
      <c r="D280" s="37">
        <f>IF(C280&lt;=0,0,IF((Coefficients!$C$2+Coefficients!$C$4*C280+Coefficients!$C$6*C280^2+Coefficients!$C$8*C280^3+Coefficients!$C$10*C280^4)/(1+Coefficients!$C$3*C280+Coefficients!$C$5*C280^2+Coefficients!$C$7*C280^3+Coefficients!$C$9*C280^4+Coefficients!$C$11*C280^5)&gt;=100,100,(Coefficients!$C$2+Coefficients!$C$4*C280+Coefficients!$C$6*C280^2+Coefficients!$C$8*C280^3+Coefficients!$C$10*C280^4)/(1+Coefficients!$C$3*C280+Coefficients!$C$5*C280^2+Coefficients!$C$7*C280^3+Coefficients!$C$9*C280^4+Coefficients!$C$11*C280^5)))</f>
        <v>100</v>
      </c>
      <c r="E280" s="38">
        <f t="shared" si="45"/>
        <v>0</v>
      </c>
      <c r="F280" s="39">
        <f t="shared" si="46"/>
        <v>0</v>
      </c>
      <c r="G280" s="75">
        <f t="shared" si="47"/>
        <v>100</v>
      </c>
    </row>
    <row r="281" spans="1:7" ht="14.25" x14ac:dyDescent="0.2">
      <c r="A281" s="29">
        <f t="shared" si="43"/>
        <v>46260</v>
      </c>
      <c r="B281" s="35">
        <f t="shared" si="42"/>
        <v>52.829568788501028</v>
      </c>
      <c r="C281" s="36">
        <f t="shared" si="44"/>
        <v>120</v>
      </c>
      <c r="D281" s="37">
        <f>IF(C281&lt;=0,0,IF((Coefficients!$C$2+Coefficients!$C$4*C281+Coefficients!$C$6*C281^2+Coefficients!$C$8*C281^3+Coefficients!$C$10*C281^4)/(1+Coefficients!$C$3*C281+Coefficients!$C$5*C281^2+Coefficients!$C$7*C281^3+Coefficients!$C$9*C281^4+Coefficients!$C$11*C281^5)&gt;=100,100,(Coefficients!$C$2+Coefficients!$C$4*C281+Coefficients!$C$6*C281^2+Coefficients!$C$8*C281^3+Coefficients!$C$10*C281^4)/(1+Coefficients!$C$3*C281+Coefficients!$C$5*C281^2+Coefficients!$C$7*C281^3+Coefficients!$C$9*C281^4+Coefficients!$C$11*C281^5)))</f>
        <v>100</v>
      </c>
      <c r="E281" s="38">
        <f t="shared" si="45"/>
        <v>0</v>
      </c>
      <c r="F281" s="39">
        <f t="shared" si="46"/>
        <v>0</v>
      </c>
      <c r="G281" s="75">
        <f t="shared" si="47"/>
        <v>100</v>
      </c>
    </row>
    <row r="282" spans="1:7" ht="14.25" x14ac:dyDescent="0.2">
      <c r="A282" s="29">
        <f t="shared" si="43"/>
        <v>46260</v>
      </c>
      <c r="B282" s="35">
        <f t="shared" si="42"/>
        <v>52.829568788501028</v>
      </c>
      <c r="C282" s="36">
        <f t="shared" si="44"/>
        <v>120</v>
      </c>
      <c r="D282" s="37">
        <f>IF(C282&lt;=0,0,IF((Coefficients!$C$2+Coefficients!$C$4*C282+Coefficients!$C$6*C282^2+Coefficients!$C$8*C282^3+Coefficients!$C$10*C282^4)/(1+Coefficients!$C$3*C282+Coefficients!$C$5*C282^2+Coefficients!$C$7*C282^3+Coefficients!$C$9*C282^4+Coefficients!$C$11*C282^5)&gt;=100,100,(Coefficients!$C$2+Coefficients!$C$4*C282+Coefficients!$C$6*C282^2+Coefficients!$C$8*C282^3+Coefficients!$C$10*C282^4)/(1+Coefficients!$C$3*C282+Coefficients!$C$5*C282^2+Coefficients!$C$7*C282^3+Coefficients!$C$9*C282^4+Coefficients!$C$11*C282^5)))</f>
        <v>100</v>
      </c>
      <c r="E282" s="38">
        <f t="shared" si="45"/>
        <v>0</v>
      </c>
      <c r="F282" s="39">
        <f t="shared" si="46"/>
        <v>0</v>
      </c>
      <c r="G282" s="75">
        <f t="shared" si="47"/>
        <v>100</v>
      </c>
    </row>
    <row r="283" spans="1:7" ht="14.25" x14ac:dyDescent="0.2">
      <c r="A283" s="29">
        <f t="shared" si="43"/>
        <v>46260</v>
      </c>
      <c r="B283" s="35">
        <f t="shared" si="42"/>
        <v>52.829568788501028</v>
      </c>
      <c r="C283" s="36">
        <f t="shared" si="44"/>
        <v>120</v>
      </c>
      <c r="D283" s="37">
        <f>IF(C283&lt;=0,0,IF((Coefficients!$C$2+Coefficients!$C$4*C283+Coefficients!$C$6*C283^2+Coefficients!$C$8*C283^3+Coefficients!$C$10*C283^4)/(1+Coefficients!$C$3*C283+Coefficients!$C$5*C283^2+Coefficients!$C$7*C283^3+Coefficients!$C$9*C283^4+Coefficients!$C$11*C283^5)&gt;=100,100,(Coefficients!$C$2+Coefficients!$C$4*C283+Coefficients!$C$6*C283^2+Coefficients!$C$8*C283^3+Coefficients!$C$10*C283^4)/(1+Coefficients!$C$3*C283+Coefficients!$C$5*C283^2+Coefficients!$C$7*C283^3+Coefficients!$C$9*C283^4+Coefficients!$C$11*C283^5)))</f>
        <v>100</v>
      </c>
      <c r="E283" s="38">
        <f t="shared" si="45"/>
        <v>0</v>
      </c>
      <c r="F283" s="39">
        <f t="shared" si="46"/>
        <v>0</v>
      </c>
      <c r="G283" s="75">
        <f t="shared" si="47"/>
        <v>100</v>
      </c>
    </row>
    <row r="284" spans="1:7" ht="14.25" x14ac:dyDescent="0.2">
      <c r="A284" s="29">
        <f t="shared" si="43"/>
        <v>46260</v>
      </c>
      <c r="B284" s="35">
        <f t="shared" si="42"/>
        <v>52.829568788501028</v>
      </c>
      <c r="C284" s="36">
        <f t="shared" si="44"/>
        <v>120</v>
      </c>
      <c r="D284" s="37">
        <f>IF(C284&lt;=0,0,IF((Coefficients!$C$2+Coefficients!$C$4*C284+Coefficients!$C$6*C284^2+Coefficients!$C$8*C284^3+Coefficients!$C$10*C284^4)/(1+Coefficients!$C$3*C284+Coefficients!$C$5*C284^2+Coefficients!$C$7*C284^3+Coefficients!$C$9*C284^4+Coefficients!$C$11*C284^5)&gt;=100,100,(Coefficients!$C$2+Coefficients!$C$4*C284+Coefficients!$C$6*C284^2+Coefficients!$C$8*C284^3+Coefficients!$C$10*C284^4)/(1+Coefficients!$C$3*C284+Coefficients!$C$5*C284^2+Coefficients!$C$7*C284^3+Coefficients!$C$9*C284^4+Coefficients!$C$11*C284^5)))</f>
        <v>100</v>
      </c>
      <c r="E284" s="38">
        <f t="shared" si="45"/>
        <v>0</v>
      </c>
      <c r="F284" s="39">
        <f t="shared" si="46"/>
        <v>0</v>
      </c>
      <c r="G284" s="75">
        <f t="shared" si="47"/>
        <v>100</v>
      </c>
    </row>
    <row r="285" spans="1:7" ht="14.25" x14ac:dyDescent="0.2">
      <c r="A285" s="29">
        <f t="shared" si="43"/>
        <v>46260</v>
      </c>
      <c r="B285" s="35">
        <f t="shared" si="42"/>
        <v>52.829568788501028</v>
      </c>
      <c r="C285" s="36">
        <f t="shared" si="44"/>
        <v>120</v>
      </c>
      <c r="D285" s="37">
        <f>IF(C285&lt;=0,0,IF((Coefficients!$C$2+Coefficients!$C$4*C285+Coefficients!$C$6*C285^2+Coefficients!$C$8*C285^3+Coefficients!$C$10*C285^4)/(1+Coefficients!$C$3*C285+Coefficients!$C$5*C285^2+Coefficients!$C$7*C285^3+Coefficients!$C$9*C285^4+Coefficients!$C$11*C285^5)&gt;=100,100,(Coefficients!$C$2+Coefficients!$C$4*C285+Coefficients!$C$6*C285^2+Coefficients!$C$8*C285^3+Coefficients!$C$10*C285^4)/(1+Coefficients!$C$3*C285+Coefficients!$C$5*C285^2+Coefficients!$C$7*C285^3+Coefficients!$C$9*C285^4+Coefficients!$C$11*C285^5)))</f>
        <v>100</v>
      </c>
      <c r="E285" s="38">
        <f t="shared" si="45"/>
        <v>0</v>
      </c>
      <c r="F285" s="39">
        <f t="shared" si="46"/>
        <v>0</v>
      </c>
      <c r="G285" s="75">
        <f t="shared" si="47"/>
        <v>100</v>
      </c>
    </row>
    <row r="286" spans="1:7" ht="14.25" x14ac:dyDescent="0.2">
      <c r="A286" s="29">
        <f t="shared" si="43"/>
        <v>46260</v>
      </c>
      <c r="B286" s="35">
        <f t="shared" si="42"/>
        <v>52.829568788501028</v>
      </c>
      <c r="C286" s="36">
        <f t="shared" si="44"/>
        <v>120</v>
      </c>
      <c r="D286" s="37">
        <f>IF(C286&lt;=0,0,IF((Coefficients!$C$2+Coefficients!$C$4*C286+Coefficients!$C$6*C286^2+Coefficients!$C$8*C286^3+Coefficients!$C$10*C286^4)/(1+Coefficients!$C$3*C286+Coefficients!$C$5*C286^2+Coefficients!$C$7*C286^3+Coefficients!$C$9*C286^4+Coefficients!$C$11*C286^5)&gt;=100,100,(Coefficients!$C$2+Coefficients!$C$4*C286+Coefficients!$C$6*C286^2+Coefficients!$C$8*C286^3+Coefficients!$C$10*C286^4)/(1+Coefficients!$C$3*C286+Coefficients!$C$5*C286^2+Coefficients!$C$7*C286^3+Coefficients!$C$9*C286^4+Coefficients!$C$11*C286^5)))</f>
        <v>100</v>
      </c>
      <c r="E286" s="38">
        <f t="shared" si="45"/>
        <v>0</v>
      </c>
      <c r="F286" s="39">
        <f t="shared" si="46"/>
        <v>0</v>
      </c>
      <c r="G286" s="75">
        <f t="shared" si="47"/>
        <v>100</v>
      </c>
    </row>
    <row r="287" spans="1:7" ht="14.25" x14ac:dyDescent="0.2">
      <c r="A287" s="29">
        <f t="shared" si="43"/>
        <v>46260</v>
      </c>
      <c r="B287" s="35">
        <f t="shared" si="42"/>
        <v>52.829568788501028</v>
      </c>
      <c r="C287" s="36">
        <f t="shared" si="44"/>
        <v>120</v>
      </c>
      <c r="D287" s="37">
        <f>IF(C287&lt;=0,0,IF((Coefficients!$C$2+Coefficients!$C$4*C287+Coefficients!$C$6*C287^2+Coefficients!$C$8*C287^3+Coefficients!$C$10*C287^4)/(1+Coefficients!$C$3*C287+Coefficients!$C$5*C287^2+Coefficients!$C$7*C287^3+Coefficients!$C$9*C287^4+Coefficients!$C$11*C287^5)&gt;=100,100,(Coefficients!$C$2+Coefficients!$C$4*C287+Coefficients!$C$6*C287^2+Coefficients!$C$8*C287^3+Coefficients!$C$10*C287^4)/(1+Coefficients!$C$3*C287+Coefficients!$C$5*C287^2+Coefficients!$C$7*C287^3+Coefficients!$C$9*C287^4+Coefficients!$C$11*C287^5)))</f>
        <v>100</v>
      </c>
      <c r="E287" s="38">
        <f t="shared" si="45"/>
        <v>0</v>
      </c>
      <c r="F287" s="39">
        <f t="shared" si="46"/>
        <v>0</v>
      </c>
      <c r="G287" s="75">
        <f t="shared" si="47"/>
        <v>100</v>
      </c>
    </row>
    <row r="288" spans="1:7" ht="14.25" x14ac:dyDescent="0.2">
      <c r="A288" s="29">
        <f t="shared" si="43"/>
        <v>46260</v>
      </c>
      <c r="B288" s="35">
        <f t="shared" si="42"/>
        <v>52.829568788501028</v>
      </c>
      <c r="C288" s="36">
        <f t="shared" si="44"/>
        <v>120</v>
      </c>
      <c r="D288" s="37">
        <f>IF(C288&lt;=0,0,IF((Coefficients!$C$2+Coefficients!$C$4*C288+Coefficients!$C$6*C288^2+Coefficients!$C$8*C288^3+Coefficients!$C$10*C288^4)/(1+Coefficients!$C$3*C288+Coefficients!$C$5*C288^2+Coefficients!$C$7*C288^3+Coefficients!$C$9*C288^4+Coefficients!$C$11*C288^5)&gt;=100,100,(Coefficients!$C$2+Coefficients!$C$4*C288+Coefficients!$C$6*C288^2+Coefficients!$C$8*C288^3+Coefficients!$C$10*C288^4)/(1+Coefficients!$C$3*C288+Coefficients!$C$5*C288^2+Coefficients!$C$7*C288^3+Coefficients!$C$9*C288^4+Coefficients!$C$11*C288^5)))</f>
        <v>100</v>
      </c>
      <c r="E288" s="38">
        <f t="shared" si="45"/>
        <v>0</v>
      </c>
      <c r="F288" s="39">
        <f t="shared" si="46"/>
        <v>0</v>
      </c>
      <c r="G288" s="75">
        <f t="shared" si="47"/>
        <v>100</v>
      </c>
    </row>
    <row r="289" spans="1:7" ht="14.25" x14ac:dyDescent="0.2">
      <c r="A289" s="29">
        <f t="shared" si="43"/>
        <v>46260</v>
      </c>
      <c r="B289" s="35">
        <f t="shared" si="42"/>
        <v>52.829568788501028</v>
      </c>
      <c r="C289" s="36">
        <f t="shared" si="44"/>
        <v>120</v>
      </c>
      <c r="D289" s="37">
        <f>IF(C289&lt;=0,0,IF((Coefficients!$C$2+Coefficients!$C$4*C289+Coefficients!$C$6*C289^2+Coefficients!$C$8*C289^3+Coefficients!$C$10*C289^4)/(1+Coefficients!$C$3*C289+Coefficients!$C$5*C289^2+Coefficients!$C$7*C289^3+Coefficients!$C$9*C289^4+Coefficients!$C$11*C289^5)&gt;=100,100,(Coefficients!$C$2+Coefficients!$C$4*C289+Coefficients!$C$6*C289^2+Coefficients!$C$8*C289^3+Coefficients!$C$10*C289^4)/(1+Coefficients!$C$3*C289+Coefficients!$C$5*C289^2+Coefficients!$C$7*C289^3+Coefficients!$C$9*C289^4+Coefficients!$C$11*C289^5)))</f>
        <v>100</v>
      </c>
      <c r="E289" s="38">
        <f t="shared" si="45"/>
        <v>0</v>
      </c>
      <c r="F289" s="39">
        <f t="shared" si="46"/>
        <v>0</v>
      </c>
      <c r="G289" s="75">
        <f t="shared" si="47"/>
        <v>100</v>
      </c>
    </row>
    <row r="290" spans="1:7" ht="14.25" x14ac:dyDescent="0.2">
      <c r="A290" s="29">
        <f t="shared" si="43"/>
        <v>46260</v>
      </c>
      <c r="B290" s="35">
        <f t="shared" si="42"/>
        <v>52.829568788501028</v>
      </c>
      <c r="C290" s="36">
        <f t="shared" si="44"/>
        <v>120</v>
      </c>
      <c r="D290" s="37">
        <f>IF(C290&lt;=0,0,IF((Coefficients!$C$2+Coefficients!$C$4*C290+Coefficients!$C$6*C290^2+Coefficients!$C$8*C290^3+Coefficients!$C$10*C290^4)/(1+Coefficients!$C$3*C290+Coefficients!$C$5*C290^2+Coefficients!$C$7*C290^3+Coefficients!$C$9*C290^4+Coefficients!$C$11*C290^5)&gt;=100,100,(Coefficients!$C$2+Coefficients!$C$4*C290+Coefficients!$C$6*C290^2+Coefficients!$C$8*C290^3+Coefficients!$C$10*C290^4)/(1+Coefficients!$C$3*C290+Coefficients!$C$5*C290^2+Coefficients!$C$7*C290^3+Coefficients!$C$9*C290^4+Coefficients!$C$11*C290^5)))</f>
        <v>100</v>
      </c>
      <c r="E290" s="38">
        <f t="shared" si="45"/>
        <v>0</v>
      </c>
      <c r="F290" s="39">
        <f t="shared" si="46"/>
        <v>0</v>
      </c>
      <c r="G290" s="75">
        <f t="shared" si="47"/>
        <v>100</v>
      </c>
    </row>
    <row r="291" spans="1:7" ht="14.25" x14ac:dyDescent="0.2">
      <c r="A291" s="29">
        <f t="shared" si="43"/>
        <v>46260</v>
      </c>
      <c r="B291" s="35">
        <f t="shared" si="42"/>
        <v>52.829568788501028</v>
      </c>
      <c r="C291" s="36">
        <f t="shared" si="44"/>
        <v>120</v>
      </c>
      <c r="D291" s="37">
        <f>IF(C291&lt;=0,0,IF((Coefficients!$C$2+Coefficients!$C$4*C291+Coefficients!$C$6*C291^2+Coefficients!$C$8*C291^3+Coefficients!$C$10*C291^4)/(1+Coefficients!$C$3*C291+Coefficients!$C$5*C291^2+Coefficients!$C$7*C291^3+Coefficients!$C$9*C291^4+Coefficients!$C$11*C291^5)&gt;=100,100,(Coefficients!$C$2+Coefficients!$C$4*C291+Coefficients!$C$6*C291^2+Coefficients!$C$8*C291^3+Coefficients!$C$10*C291^4)/(1+Coefficients!$C$3*C291+Coefficients!$C$5*C291^2+Coefficients!$C$7*C291^3+Coefficients!$C$9*C291^4+Coefficients!$C$11*C291^5)))</f>
        <v>100</v>
      </c>
      <c r="E291" s="38">
        <f t="shared" si="45"/>
        <v>0</v>
      </c>
      <c r="F291" s="39">
        <f t="shared" si="46"/>
        <v>0</v>
      </c>
      <c r="G291" s="75">
        <f t="shared" si="47"/>
        <v>100</v>
      </c>
    </row>
    <row r="292" spans="1:7" ht="14.25" x14ac:dyDescent="0.2">
      <c r="A292" s="29">
        <f t="shared" si="43"/>
        <v>46260</v>
      </c>
      <c r="B292" s="35">
        <f t="shared" si="42"/>
        <v>52.829568788501028</v>
      </c>
      <c r="C292" s="36">
        <f t="shared" si="44"/>
        <v>120</v>
      </c>
      <c r="D292" s="37">
        <f>IF(C292&lt;=0,0,IF((Coefficients!$C$2+Coefficients!$C$4*C292+Coefficients!$C$6*C292^2+Coefficients!$C$8*C292^3+Coefficients!$C$10*C292^4)/(1+Coefficients!$C$3*C292+Coefficients!$C$5*C292^2+Coefficients!$C$7*C292^3+Coefficients!$C$9*C292^4+Coefficients!$C$11*C292^5)&gt;=100,100,(Coefficients!$C$2+Coefficients!$C$4*C292+Coefficients!$C$6*C292^2+Coefficients!$C$8*C292^3+Coefficients!$C$10*C292^4)/(1+Coefficients!$C$3*C292+Coefficients!$C$5*C292^2+Coefficients!$C$7*C292^3+Coefficients!$C$9*C292^4+Coefficients!$C$11*C292^5)))</f>
        <v>100</v>
      </c>
      <c r="E292" s="38">
        <f t="shared" si="45"/>
        <v>0</v>
      </c>
      <c r="F292" s="39">
        <f t="shared" si="46"/>
        <v>0</v>
      </c>
      <c r="G292" s="75">
        <f t="shared" si="47"/>
        <v>100</v>
      </c>
    </row>
    <row r="293" spans="1:7" ht="14.25" x14ac:dyDescent="0.2">
      <c r="A293" s="29">
        <f t="shared" si="43"/>
        <v>46260</v>
      </c>
      <c r="B293" s="35">
        <f t="shared" si="42"/>
        <v>52.829568788501028</v>
      </c>
      <c r="C293" s="36">
        <f t="shared" si="44"/>
        <v>120</v>
      </c>
      <c r="D293" s="37">
        <f>IF(C293&lt;=0,0,IF((Coefficients!$C$2+Coefficients!$C$4*C293+Coefficients!$C$6*C293^2+Coefficients!$C$8*C293^3+Coefficients!$C$10*C293^4)/(1+Coefficients!$C$3*C293+Coefficients!$C$5*C293^2+Coefficients!$C$7*C293^3+Coefficients!$C$9*C293^4+Coefficients!$C$11*C293^5)&gt;=100,100,(Coefficients!$C$2+Coefficients!$C$4*C293+Coefficients!$C$6*C293^2+Coefficients!$C$8*C293^3+Coefficients!$C$10*C293^4)/(1+Coefficients!$C$3*C293+Coefficients!$C$5*C293^2+Coefficients!$C$7*C293^3+Coefficients!$C$9*C293^4+Coefficients!$C$11*C293^5)))</f>
        <v>100</v>
      </c>
      <c r="E293" s="38">
        <f t="shared" si="45"/>
        <v>0</v>
      </c>
      <c r="F293" s="39">
        <f t="shared" si="46"/>
        <v>0</v>
      </c>
      <c r="G293" s="75">
        <f t="shared" si="47"/>
        <v>100</v>
      </c>
    </row>
    <row r="294" spans="1:7" ht="14.25" x14ac:dyDescent="0.2">
      <c r="A294" s="29">
        <f t="shared" si="43"/>
        <v>46260</v>
      </c>
      <c r="B294" s="35">
        <f t="shared" si="42"/>
        <v>52.829568788501028</v>
      </c>
      <c r="C294" s="36">
        <f t="shared" si="44"/>
        <v>120</v>
      </c>
      <c r="D294" s="37">
        <f>IF(C294&lt;=0,0,IF((Coefficients!$C$2+Coefficients!$C$4*C294+Coefficients!$C$6*C294^2+Coefficients!$C$8*C294^3+Coefficients!$C$10*C294^4)/(1+Coefficients!$C$3*C294+Coefficients!$C$5*C294^2+Coefficients!$C$7*C294^3+Coefficients!$C$9*C294^4+Coefficients!$C$11*C294^5)&gt;=100,100,(Coefficients!$C$2+Coefficients!$C$4*C294+Coefficients!$C$6*C294^2+Coefficients!$C$8*C294^3+Coefficients!$C$10*C294^4)/(1+Coefficients!$C$3*C294+Coefficients!$C$5*C294^2+Coefficients!$C$7*C294^3+Coefficients!$C$9*C294^4+Coefficients!$C$11*C294^5)))</f>
        <v>100</v>
      </c>
      <c r="E294" s="38">
        <f t="shared" si="45"/>
        <v>0</v>
      </c>
      <c r="F294" s="39">
        <f t="shared" si="46"/>
        <v>0</v>
      </c>
      <c r="G294" s="75">
        <f t="shared" si="47"/>
        <v>100</v>
      </c>
    </row>
    <row r="295" spans="1:7" ht="14.25" x14ac:dyDescent="0.2">
      <c r="A295" s="29">
        <f t="shared" si="43"/>
        <v>46260</v>
      </c>
      <c r="B295" s="35">
        <f t="shared" si="42"/>
        <v>52.829568788501028</v>
      </c>
      <c r="C295" s="36">
        <f t="shared" si="44"/>
        <v>120</v>
      </c>
      <c r="D295" s="37">
        <f>IF(C295&lt;=0,0,IF((Coefficients!$C$2+Coefficients!$C$4*C295+Coefficients!$C$6*C295^2+Coefficients!$C$8*C295^3+Coefficients!$C$10*C295^4)/(1+Coefficients!$C$3*C295+Coefficients!$C$5*C295^2+Coefficients!$C$7*C295^3+Coefficients!$C$9*C295^4+Coefficients!$C$11*C295^5)&gt;=100,100,(Coefficients!$C$2+Coefficients!$C$4*C295+Coefficients!$C$6*C295^2+Coefficients!$C$8*C295^3+Coefficients!$C$10*C295^4)/(1+Coefficients!$C$3*C295+Coefficients!$C$5*C295^2+Coefficients!$C$7*C295^3+Coefficients!$C$9*C295^4+Coefficients!$C$11*C295^5)))</f>
        <v>100</v>
      </c>
      <c r="E295" s="38">
        <f t="shared" si="45"/>
        <v>0</v>
      </c>
      <c r="F295" s="39">
        <f t="shared" si="46"/>
        <v>0</v>
      </c>
      <c r="G295" s="75">
        <f t="shared" si="47"/>
        <v>100</v>
      </c>
    </row>
    <row r="296" spans="1:7" ht="14.25" x14ac:dyDescent="0.2">
      <c r="A296" s="29">
        <f t="shared" si="43"/>
        <v>46260</v>
      </c>
      <c r="B296" s="35">
        <f t="shared" si="42"/>
        <v>52.829568788501028</v>
      </c>
      <c r="C296" s="36">
        <f t="shared" si="44"/>
        <v>120</v>
      </c>
      <c r="D296" s="37">
        <f>IF(C296&lt;=0,0,IF((Coefficients!$C$2+Coefficients!$C$4*C296+Coefficients!$C$6*C296^2+Coefficients!$C$8*C296^3+Coefficients!$C$10*C296^4)/(1+Coefficients!$C$3*C296+Coefficients!$C$5*C296^2+Coefficients!$C$7*C296^3+Coefficients!$C$9*C296^4+Coefficients!$C$11*C296^5)&gt;=100,100,(Coefficients!$C$2+Coefficients!$C$4*C296+Coefficients!$C$6*C296^2+Coefficients!$C$8*C296^3+Coefficients!$C$10*C296^4)/(1+Coefficients!$C$3*C296+Coefficients!$C$5*C296^2+Coefficients!$C$7*C296^3+Coefficients!$C$9*C296^4+Coefficients!$C$11*C296^5)))</f>
        <v>100</v>
      </c>
      <c r="E296" s="38">
        <f t="shared" si="45"/>
        <v>0</v>
      </c>
      <c r="F296" s="39">
        <f t="shared" si="46"/>
        <v>0</v>
      </c>
      <c r="G296" s="75">
        <f t="shared" si="47"/>
        <v>100</v>
      </c>
    </row>
    <row r="297" spans="1:7" ht="14.25" x14ac:dyDescent="0.2">
      <c r="A297" s="29">
        <f t="shared" si="43"/>
        <v>46260</v>
      </c>
      <c r="B297" s="35">
        <f t="shared" si="42"/>
        <v>52.829568788501028</v>
      </c>
      <c r="C297" s="36">
        <f t="shared" si="44"/>
        <v>120</v>
      </c>
      <c r="D297" s="37">
        <f>IF(C297&lt;=0,0,IF((Coefficients!$C$2+Coefficients!$C$4*C297+Coefficients!$C$6*C297^2+Coefficients!$C$8*C297^3+Coefficients!$C$10*C297^4)/(1+Coefficients!$C$3*C297+Coefficients!$C$5*C297^2+Coefficients!$C$7*C297^3+Coefficients!$C$9*C297^4+Coefficients!$C$11*C297^5)&gt;=100,100,(Coefficients!$C$2+Coefficients!$C$4*C297+Coefficients!$C$6*C297^2+Coefficients!$C$8*C297^3+Coefficients!$C$10*C297^4)/(1+Coefficients!$C$3*C297+Coefficients!$C$5*C297^2+Coefficients!$C$7*C297^3+Coefficients!$C$9*C297^4+Coefficients!$C$11*C297^5)))</f>
        <v>100</v>
      </c>
      <c r="E297" s="38">
        <f t="shared" si="45"/>
        <v>0</v>
      </c>
      <c r="F297" s="39">
        <f t="shared" si="46"/>
        <v>0</v>
      </c>
      <c r="G297" s="75">
        <f t="shared" si="47"/>
        <v>100</v>
      </c>
    </row>
    <row r="298" spans="1:7" ht="14.25" x14ac:dyDescent="0.2">
      <c r="A298" s="29">
        <f t="shared" si="43"/>
        <v>46260</v>
      </c>
      <c r="B298" s="35">
        <f t="shared" si="42"/>
        <v>52.829568788501028</v>
      </c>
      <c r="C298" s="36">
        <f t="shared" si="44"/>
        <v>120</v>
      </c>
      <c r="D298" s="37">
        <f>IF(C298&lt;=0,0,IF((Coefficients!$C$2+Coefficients!$C$4*C298+Coefficients!$C$6*C298^2+Coefficients!$C$8*C298^3+Coefficients!$C$10*C298^4)/(1+Coefficients!$C$3*C298+Coefficients!$C$5*C298^2+Coefficients!$C$7*C298^3+Coefficients!$C$9*C298^4+Coefficients!$C$11*C298^5)&gt;=100,100,(Coefficients!$C$2+Coefficients!$C$4*C298+Coefficients!$C$6*C298^2+Coefficients!$C$8*C298^3+Coefficients!$C$10*C298^4)/(1+Coefficients!$C$3*C298+Coefficients!$C$5*C298^2+Coefficients!$C$7*C298^3+Coefficients!$C$9*C298^4+Coefficients!$C$11*C298^5)))</f>
        <v>100</v>
      </c>
      <c r="E298" s="38">
        <f t="shared" si="45"/>
        <v>0</v>
      </c>
      <c r="F298" s="39">
        <f t="shared" si="46"/>
        <v>0</v>
      </c>
      <c r="G298" s="75">
        <f t="shared" si="47"/>
        <v>100</v>
      </c>
    </row>
    <row r="299" spans="1:7" ht="14.25" x14ac:dyDescent="0.2">
      <c r="A299" s="29">
        <f t="shared" si="43"/>
        <v>46260</v>
      </c>
      <c r="B299" s="35">
        <f t="shared" si="42"/>
        <v>52.829568788501028</v>
      </c>
      <c r="C299" s="36">
        <f t="shared" si="44"/>
        <v>120</v>
      </c>
      <c r="D299" s="37">
        <f>IF(C299&lt;=0,0,IF((Coefficients!$C$2+Coefficients!$C$4*C299+Coefficients!$C$6*C299^2+Coefficients!$C$8*C299^3+Coefficients!$C$10*C299^4)/(1+Coefficients!$C$3*C299+Coefficients!$C$5*C299^2+Coefficients!$C$7*C299^3+Coefficients!$C$9*C299^4+Coefficients!$C$11*C299^5)&gt;=100,100,(Coefficients!$C$2+Coefficients!$C$4*C299+Coefficients!$C$6*C299^2+Coefficients!$C$8*C299^3+Coefficients!$C$10*C299^4)/(1+Coefficients!$C$3*C299+Coefficients!$C$5*C299^2+Coefficients!$C$7*C299^3+Coefficients!$C$9*C299^4+Coefficients!$C$11*C299^5)))</f>
        <v>100</v>
      </c>
      <c r="E299" s="38">
        <f t="shared" si="45"/>
        <v>0</v>
      </c>
      <c r="F299" s="39">
        <f t="shared" si="46"/>
        <v>0</v>
      </c>
      <c r="G299" s="75">
        <f t="shared" si="47"/>
        <v>100</v>
      </c>
    </row>
    <row r="300" spans="1:7" ht="14.25" x14ac:dyDescent="0.2">
      <c r="A300" s="29">
        <f t="shared" si="43"/>
        <v>46260</v>
      </c>
      <c r="B300" s="35">
        <f t="shared" si="42"/>
        <v>52.829568788501028</v>
      </c>
      <c r="C300" s="36">
        <f t="shared" si="44"/>
        <v>120</v>
      </c>
      <c r="D300" s="37">
        <f>IF(C300&lt;=0,0,IF((Coefficients!$C$2+Coefficients!$C$4*C300+Coefficients!$C$6*C300^2+Coefficients!$C$8*C300^3+Coefficients!$C$10*C300^4)/(1+Coefficients!$C$3*C300+Coefficients!$C$5*C300^2+Coefficients!$C$7*C300^3+Coefficients!$C$9*C300^4+Coefficients!$C$11*C300^5)&gt;=100,100,(Coefficients!$C$2+Coefficients!$C$4*C300+Coefficients!$C$6*C300^2+Coefficients!$C$8*C300^3+Coefficients!$C$10*C300^4)/(1+Coefficients!$C$3*C300+Coefficients!$C$5*C300^2+Coefficients!$C$7*C300^3+Coefficients!$C$9*C300^4+Coefficients!$C$11*C300^5)))</f>
        <v>100</v>
      </c>
      <c r="E300" s="38">
        <f t="shared" si="45"/>
        <v>0</v>
      </c>
      <c r="F300" s="39">
        <f t="shared" si="46"/>
        <v>0</v>
      </c>
      <c r="G300" s="75">
        <f t="shared" si="47"/>
        <v>100</v>
      </c>
    </row>
    <row r="301" spans="1:7" ht="14.25" x14ac:dyDescent="0.2">
      <c r="A301" s="29">
        <f t="shared" ref="A301:A325" si="48">A300+((B301-B300)*365.25/12)</f>
        <v>46260</v>
      </c>
      <c r="B301" s="35">
        <f t="shared" si="42"/>
        <v>52.829568788501028</v>
      </c>
      <c r="C301" s="36">
        <f t="shared" ref="C301:C311" si="49">+B301/$C$5*100</f>
        <v>120</v>
      </c>
      <c r="D301" s="37">
        <f>IF(C301&lt;=0,0,IF((Coefficients!$C$2+Coefficients!$C$4*C301+Coefficients!$C$6*C301^2+Coefficients!$C$8*C301^3+Coefficients!$C$10*C301^4)/(1+Coefficients!$C$3*C301+Coefficients!$C$5*C301^2+Coefficients!$C$7*C301^3+Coefficients!$C$9*C301^4+Coefficients!$C$11*C301^5)&gt;=100,100,(Coefficients!$C$2+Coefficients!$C$4*C301+Coefficients!$C$6*C301^2+Coefficients!$C$8*C301^3+Coefficients!$C$10*C301^4)/(1+Coefficients!$C$3*C301+Coefficients!$C$5*C301^2+Coefficients!$C$7*C301^3+Coefficients!$C$9*C301^4+Coefficients!$C$11*C301^5)))</f>
        <v>100</v>
      </c>
      <c r="E301" s="38">
        <f t="shared" ref="E301:E311" si="50">+D301-D300</f>
        <v>0</v>
      </c>
      <c r="F301" s="39">
        <f t="shared" ref="F301:F311" si="51">$C$6*(E301/100)</f>
        <v>0</v>
      </c>
      <c r="G301" s="75">
        <f t="shared" ref="G301:G311" si="52">IF(D300=100,G300,G300+F301)</f>
        <v>100</v>
      </c>
    </row>
    <row r="302" spans="1:7" ht="14.25" x14ac:dyDescent="0.2">
      <c r="A302" s="29">
        <f t="shared" si="48"/>
        <v>46260</v>
      </c>
      <c r="B302" s="35">
        <f t="shared" si="42"/>
        <v>52.829568788501028</v>
      </c>
      <c r="C302" s="36">
        <f t="shared" si="49"/>
        <v>120</v>
      </c>
      <c r="D302" s="37">
        <f>IF(C302&lt;=0,0,IF((Coefficients!$C$2+Coefficients!$C$4*C302+Coefficients!$C$6*C302^2+Coefficients!$C$8*C302^3+Coefficients!$C$10*C302^4)/(1+Coefficients!$C$3*C302+Coefficients!$C$5*C302^2+Coefficients!$C$7*C302^3+Coefficients!$C$9*C302^4+Coefficients!$C$11*C302^5)&gt;=100,100,(Coefficients!$C$2+Coefficients!$C$4*C302+Coefficients!$C$6*C302^2+Coefficients!$C$8*C302^3+Coefficients!$C$10*C302^4)/(1+Coefficients!$C$3*C302+Coefficients!$C$5*C302^2+Coefficients!$C$7*C302^3+Coefficients!$C$9*C302^4+Coefficients!$C$11*C302^5)))</f>
        <v>100</v>
      </c>
      <c r="E302" s="38">
        <f t="shared" si="50"/>
        <v>0</v>
      </c>
      <c r="F302" s="39">
        <f t="shared" si="51"/>
        <v>0</v>
      </c>
      <c r="G302" s="75">
        <f t="shared" si="52"/>
        <v>100</v>
      </c>
    </row>
    <row r="303" spans="1:7" ht="14.25" x14ac:dyDescent="0.2">
      <c r="A303" s="29">
        <f t="shared" si="48"/>
        <v>46260</v>
      </c>
      <c r="B303" s="35">
        <f t="shared" si="42"/>
        <v>52.829568788501028</v>
      </c>
      <c r="C303" s="36">
        <f t="shared" si="49"/>
        <v>120</v>
      </c>
      <c r="D303" s="37">
        <f>IF(C303&lt;=0,0,IF((Coefficients!$C$2+Coefficients!$C$4*C303+Coefficients!$C$6*C303^2+Coefficients!$C$8*C303^3+Coefficients!$C$10*C303^4)/(1+Coefficients!$C$3*C303+Coefficients!$C$5*C303^2+Coefficients!$C$7*C303^3+Coefficients!$C$9*C303^4+Coefficients!$C$11*C303^5)&gt;=100,100,(Coefficients!$C$2+Coefficients!$C$4*C303+Coefficients!$C$6*C303^2+Coefficients!$C$8*C303^3+Coefficients!$C$10*C303^4)/(1+Coefficients!$C$3*C303+Coefficients!$C$5*C303^2+Coefficients!$C$7*C303^3+Coefficients!$C$9*C303^4+Coefficients!$C$11*C303^5)))</f>
        <v>100</v>
      </c>
      <c r="E303" s="38">
        <f t="shared" si="50"/>
        <v>0</v>
      </c>
      <c r="F303" s="39">
        <f t="shared" si="51"/>
        <v>0</v>
      </c>
      <c r="G303" s="75">
        <f t="shared" si="52"/>
        <v>100</v>
      </c>
    </row>
    <row r="304" spans="1:7" ht="14.25" x14ac:dyDescent="0.2">
      <c r="A304" s="29">
        <f t="shared" si="48"/>
        <v>46260</v>
      </c>
      <c r="B304" s="35">
        <f t="shared" si="42"/>
        <v>52.829568788501028</v>
      </c>
      <c r="C304" s="36">
        <f t="shared" si="49"/>
        <v>120</v>
      </c>
      <c r="D304" s="37">
        <f>IF(C304&lt;=0,0,IF((Coefficients!$C$2+Coefficients!$C$4*C304+Coefficients!$C$6*C304^2+Coefficients!$C$8*C304^3+Coefficients!$C$10*C304^4)/(1+Coefficients!$C$3*C304+Coefficients!$C$5*C304^2+Coefficients!$C$7*C304^3+Coefficients!$C$9*C304^4+Coefficients!$C$11*C304^5)&gt;=100,100,(Coefficients!$C$2+Coefficients!$C$4*C304+Coefficients!$C$6*C304^2+Coefficients!$C$8*C304^3+Coefficients!$C$10*C304^4)/(1+Coefficients!$C$3*C304+Coefficients!$C$5*C304^2+Coefficients!$C$7*C304^3+Coefficients!$C$9*C304^4+Coefficients!$C$11*C304^5)))</f>
        <v>100</v>
      </c>
      <c r="E304" s="38">
        <f t="shared" si="50"/>
        <v>0</v>
      </c>
      <c r="F304" s="39">
        <f t="shared" si="51"/>
        <v>0</v>
      </c>
      <c r="G304" s="75">
        <f t="shared" si="52"/>
        <v>100</v>
      </c>
    </row>
    <row r="305" spans="1:7" ht="14.25" x14ac:dyDescent="0.2">
      <c r="A305" s="29">
        <f t="shared" si="48"/>
        <v>46260</v>
      </c>
      <c r="B305" s="35">
        <f t="shared" si="42"/>
        <v>52.829568788501028</v>
      </c>
      <c r="C305" s="36">
        <f t="shared" si="49"/>
        <v>120</v>
      </c>
      <c r="D305" s="37">
        <f>IF(C305&lt;=0,0,IF((Coefficients!$C$2+Coefficients!$C$4*C305+Coefficients!$C$6*C305^2+Coefficients!$C$8*C305^3+Coefficients!$C$10*C305^4)/(1+Coefficients!$C$3*C305+Coefficients!$C$5*C305^2+Coefficients!$C$7*C305^3+Coefficients!$C$9*C305^4+Coefficients!$C$11*C305^5)&gt;=100,100,(Coefficients!$C$2+Coefficients!$C$4*C305+Coefficients!$C$6*C305^2+Coefficients!$C$8*C305^3+Coefficients!$C$10*C305^4)/(1+Coefficients!$C$3*C305+Coefficients!$C$5*C305^2+Coefficients!$C$7*C305^3+Coefficients!$C$9*C305^4+Coefficients!$C$11*C305^5)))</f>
        <v>100</v>
      </c>
      <c r="E305" s="38">
        <f t="shared" si="50"/>
        <v>0</v>
      </c>
      <c r="F305" s="39">
        <f t="shared" si="51"/>
        <v>0</v>
      </c>
      <c r="G305" s="75">
        <f t="shared" si="52"/>
        <v>100</v>
      </c>
    </row>
    <row r="306" spans="1:7" ht="14.25" x14ac:dyDescent="0.2">
      <c r="A306" s="29">
        <f t="shared" si="48"/>
        <v>46260</v>
      </c>
      <c r="B306" s="35">
        <f t="shared" si="42"/>
        <v>52.829568788501028</v>
      </c>
      <c r="C306" s="36">
        <f t="shared" si="49"/>
        <v>120</v>
      </c>
      <c r="D306" s="37">
        <f>IF(C306&lt;=0,0,IF((Coefficients!$C$2+Coefficients!$C$4*C306+Coefficients!$C$6*C306^2+Coefficients!$C$8*C306^3+Coefficients!$C$10*C306^4)/(1+Coefficients!$C$3*C306+Coefficients!$C$5*C306^2+Coefficients!$C$7*C306^3+Coefficients!$C$9*C306^4+Coefficients!$C$11*C306^5)&gt;=100,100,(Coefficients!$C$2+Coefficients!$C$4*C306+Coefficients!$C$6*C306^2+Coefficients!$C$8*C306^3+Coefficients!$C$10*C306^4)/(1+Coefficients!$C$3*C306+Coefficients!$C$5*C306^2+Coefficients!$C$7*C306^3+Coefficients!$C$9*C306^4+Coefficients!$C$11*C306^5)))</f>
        <v>100</v>
      </c>
      <c r="E306" s="38">
        <f t="shared" si="50"/>
        <v>0</v>
      </c>
      <c r="F306" s="39">
        <f t="shared" si="51"/>
        <v>0</v>
      </c>
      <c r="G306" s="75">
        <f t="shared" si="52"/>
        <v>100</v>
      </c>
    </row>
    <row r="307" spans="1:7" ht="14.25" x14ac:dyDescent="0.2">
      <c r="A307" s="29">
        <f t="shared" si="48"/>
        <v>46260</v>
      </c>
      <c r="B307" s="35">
        <f t="shared" si="42"/>
        <v>52.829568788501028</v>
      </c>
      <c r="C307" s="36">
        <f t="shared" si="49"/>
        <v>120</v>
      </c>
      <c r="D307" s="37">
        <f>IF(C307&lt;=0,0,IF((Coefficients!$C$2+Coefficients!$C$4*C307+Coefficients!$C$6*C307^2+Coefficients!$C$8*C307^3+Coefficients!$C$10*C307^4)/(1+Coefficients!$C$3*C307+Coefficients!$C$5*C307^2+Coefficients!$C$7*C307^3+Coefficients!$C$9*C307^4+Coefficients!$C$11*C307^5)&gt;=100,100,(Coefficients!$C$2+Coefficients!$C$4*C307+Coefficients!$C$6*C307^2+Coefficients!$C$8*C307^3+Coefficients!$C$10*C307^4)/(1+Coefficients!$C$3*C307+Coefficients!$C$5*C307^2+Coefficients!$C$7*C307^3+Coefficients!$C$9*C307^4+Coefficients!$C$11*C307^5)))</f>
        <v>100</v>
      </c>
      <c r="E307" s="38">
        <f t="shared" si="50"/>
        <v>0</v>
      </c>
      <c r="F307" s="39">
        <f t="shared" si="51"/>
        <v>0</v>
      </c>
      <c r="G307" s="75">
        <f t="shared" si="52"/>
        <v>100</v>
      </c>
    </row>
    <row r="308" spans="1:7" ht="14.25" x14ac:dyDescent="0.2">
      <c r="A308" s="29">
        <f t="shared" si="48"/>
        <v>46260</v>
      </c>
      <c r="B308" s="35">
        <f t="shared" si="42"/>
        <v>52.829568788501028</v>
      </c>
      <c r="C308" s="36">
        <f t="shared" si="49"/>
        <v>120</v>
      </c>
      <c r="D308" s="37">
        <f>IF(C308&lt;=0,0,IF((Coefficients!$C$2+Coefficients!$C$4*C308+Coefficients!$C$6*C308^2+Coefficients!$C$8*C308^3+Coefficients!$C$10*C308^4)/(1+Coefficients!$C$3*C308+Coefficients!$C$5*C308^2+Coefficients!$C$7*C308^3+Coefficients!$C$9*C308^4+Coefficients!$C$11*C308^5)&gt;=100,100,(Coefficients!$C$2+Coefficients!$C$4*C308+Coefficients!$C$6*C308^2+Coefficients!$C$8*C308^3+Coefficients!$C$10*C308^4)/(1+Coefficients!$C$3*C308+Coefficients!$C$5*C308^2+Coefficients!$C$7*C308^3+Coefficients!$C$9*C308^4+Coefficients!$C$11*C308^5)))</f>
        <v>100</v>
      </c>
      <c r="E308" s="38">
        <f t="shared" si="50"/>
        <v>0</v>
      </c>
      <c r="F308" s="39">
        <f t="shared" si="51"/>
        <v>0</v>
      </c>
      <c r="G308" s="75">
        <f t="shared" si="52"/>
        <v>100</v>
      </c>
    </row>
    <row r="309" spans="1:7" ht="14.25" x14ac:dyDescent="0.2">
      <c r="A309" s="29">
        <f t="shared" si="48"/>
        <v>46260</v>
      </c>
      <c r="B309" s="35">
        <f t="shared" ref="B309:B325" si="53">+IF(B308+1&gt;=$C$5*1.2,$C$5*1.2,B308+1)</f>
        <v>52.829568788501028</v>
      </c>
      <c r="C309" s="36">
        <f t="shared" si="49"/>
        <v>120</v>
      </c>
      <c r="D309" s="37">
        <f>IF(C309&lt;=0,0,IF((Coefficients!$C$2+Coefficients!$C$4*C309+Coefficients!$C$6*C309^2+Coefficients!$C$8*C309^3+Coefficients!$C$10*C309^4)/(1+Coefficients!$C$3*C309+Coefficients!$C$5*C309^2+Coefficients!$C$7*C309^3+Coefficients!$C$9*C309^4+Coefficients!$C$11*C309^5)&gt;=100,100,(Coefficients!$C$2+Coefficients!$C$4*C309+Coefficients!$C$6*C309^2+Coefficients!$C$8*C309^3+Coefficients!$C$10*C309^4)/(1+Coefficients!$C$3*C309+Coefficients!$C$5*C309^2+Coefficients!$C$7*C309^3+Coefficients!$C$9*C309^4+Coefficients!$C$11*C309^5)))</f>
        <v>100</v>
      </c>
      <c r="E309" s="38">
        <f t="shared" si="50"/>
        <v>0</v>
      </c>
      <c r="F309" s="39">
        <f t="shared" si="51"/>
        <v>0</v>
      </c>
      <c r="G309" s="75">
        <f t="shared" si="52"/>
        <v>100</v>
      </c>
    </row>
    <row r="310" spans="1:7" ht="14.25" x14ac:dyDescent="0.2">
      <c r="A310" s="29">
        <f t="shared" si="48"/>
        <v>46260</v>
      </c>
      <c r="B310" s="35">
        <f t="shared" si="53"/>
        <v>52.829568788501028</v>
      </c>
      <c r="C310" s="36">
        <f t="shared" si="49"/>
        <v>120</v>
      </c>
      <c r="D310" s="37">
        <f>IF(C310&lt;=0,0,IF((Coefficients!$C$2+Coefficients!$C$4*C310+Coefficients!$C$6*C310^2+Coefficients!$C$8*C310^3+Coefficients!$C$10*C310^4)/(1+Coefficients!$C$3*C310+Coefficients!$C$5*C310^2+Coefficients!$C$7*C310^3+Coefficients!$C$9*C310^4+Coefficients!$C$11*C310^5)&gt;=100,100,(Coefficients!$C$2+Coefficients!$C$4*C310+Coefficients!$C$6*C310^2+Coefficients!$C$8*C310^3+Coefficients!$C$10*C310^4)/(1+Coefficients!$C$3*C310+Coefficients!$C$5*C310^2+Coefficients!$C$7*C310^3+Coefficients!$C$9*C310^4+Coefficients!$C$11*C310^5)))</f>
        <v>100</v>
      </c>
      <c r="E310" s="38">
        <f t="shared" si="50"/>
        <v>0</v>
      </c>
      <c r="F310" s="39">
        <f t="shared" si="51"/>
        <v>0</v>
      </c>
      <c r="G310" s="75">
        <f t="shared" si="52"/>
        <v>100</v>
      </c>
    </row>
    <row r="311" spans="1:7" ht="14.25" x14ac:dyDescent="0.2">
      <c r="A311" s="29">
        <f t="shared" si="48"/>
        <v>46260</v>
      </c>
      <c r="B311" s="35">
        <f t="shared" si="53"/>
        <v>52.829568788501028</v>
      </c>
      <c r="C311" s="36">
        <f t="shared" si="49"/>
        <v>120</v>
      </c>
      <c r="D311" s="37">
        <f>IF(C311&lt;=0,0,IF((Coefficients!$C$2+Coefficients!$C$4*C311+Coefficients!$C$6*C311^2+Coefficients!$C$8*C311^3+Coefficients!$C$10*C311^4)/(1+Coefficients!$C$3*C311+Coefficients!$C$5*C311^2+Coefficients!$C$7*C311^3+Coefficients!$C$9*C311^4+Coefficients!$C$11*C311^5)&gt;=100,100,(Coefficients!$C$2+Coefficients!$C$4*C311+Coefficients!$C$6*C311^2+Coefficients!$C$8*C311^3+Coefficients!$C$10*C311^4)/(1+Coefficients!$C$3*C311+Coefficients!$C$5*C311^2+Coefficients!$C$7*C311^3+Coefficients!$C$9*C311^4+Coefficients!$C$11*C311^5)))</f>
        <v>100</v>
      </c>
      <c r="E311" s="38">
        <f t="shared" si="50"/>
        <v>0</v>
      </c>
      <c r="F311" s="39">
        <f t="shared" si="51"/>
        <v>0</v>
      </c>
      <c r="G311" s="75">
        <f t="shared" si="52"/>
        <v>100</v>
      </c>
    </row>
    <row r="312" spans="1:7" ht="14.25" x14ac:dyDescent="0.2">
      <c r="A312" s="29">
        <f t="shared" si="48"/>
        <v>46260</v>
      </c>
      <c r="B312" s="35">
        <f t="shared" si="53"/>
        <v>52.829568788501028</v>
      </c>
      <c r="C312" s="36">
        <f t="shared" ref="C312:C325" si="54">+B312/$C$5*100</f>
        <v>120</v>
      </c>
      <c r="D312" s="37">
        <f>IF(C312&lt;=0,0,IF((Coefficients!$C$2+Coefficients!$C$4*C312+Coefficients!$C$6*C312^2+Coefficients!$C$8*C312^3+Coefficients!$C$10*C312^4)/(1+Coefficients!$C$3*C312+Coefficients!$C$5*C312^2+Coefficients!$C$7*C312^3+Coefficients!$C$9*C312^4+Coefficients!$C$11*C312^5)&gt;=100,100,(Coefficients!$C$2+Coefficients!$C$4*C312+Coefficients!$C$6*C312^2+Coefficients!$C$8*C312^3+Coefficients!$C$10*C312^4)/(1+Coefficients!$C$3*C312+Coefficients!$C$5*C312^2+Coefficients!$C$7*C312^3+Coefficients!$C$9*C312^4+Coefficients!$C$11*C312^5)))</f>
        <v>100</v>
      </c>
      <c r="E312" s="78">
        <f t="shared" ref="E312:E325" si="55">+D312-D311</f>
        <v>0</v>
      </c>
      <c r="F312" s="39">
        <f t="shared" ref="F312:F325" si="56">$C$6*(E312/100)</f>
        <v>0</v>
      </c>
      <c r="G312" s="75">
        <f t="shared" ref="G312:G325" si="57">IF(D311=100,G311,G311+F312)</f>
        <v>100</v>
      </c>
    </row>
    <row r="313" spans="1:7" ht="14.25" x14ac:dyDescent="0.2">
      <c r="A313" s="29">
        <f t="shared" si="48"/>
        <v>46260</v>
      </c>
      <c r="B313" s="35">
        <f t="shared" si="53"/>
        <v>52.829568788501028</v>
      </c>
      <c r="C313" s="36">
        <f t="shared" si="54"/>
        <v>120</v>
      </c>
      <c r="D313" s="37">
        <f>IF(C313&lt;=0,0,IF((Coefficients!$C$2+Coefficients!$C$4*C313+Coefficients!$C$6*C313^2+Coefficients!$C$8*C313^3+Coefficients!$C$10*C313^4)/(1+Coefficients!$C$3*C313+Coefficients!$C$5*C313^2+Coefficients!$C$7*C313^3+Coefficients!$C$9*C313^4+Coefficients!$C$11*C313^5)&gt;=100,100,(Coefficients!$C$2+Coefficients!$C$4*C313+Coefficients!$C$6*C313^2+Coefficients!$C$8*C313^3+Coefficients!$C$10*C313^4)/(1+Coefficients!$C$3*C313+Coefficients!$C$5*C313^2+Coefficients!$C$7*C313^3+Coefficients!$C$9*C313^4+Coefficients!$C$11*C313^5)))</f>
        <v>100</v>
      </c>
      <c r="E313" s="78">
        <f t="shared" si="55"/>
        <v>0</v>
      </c>
      <c r="F313" s="39">
        <f t="shared" si="56"/>
        <v>0</v>
      </c>
      <c r="G313" s="75">
        <f t="shared" si="57"/>
        <v>100</v>
      </c>
    </row>
    <row r="314" spans="1:7" ht="14.25" x14ac:dyDescent="0.2">
      <c r="A314" s="29">
        <f t="shared" si="48"/>
        <v>46260</v>
      </c>
      <c r="B314" s="35">
        <f t="shared" si="53"/>
        <v>52.829568788501028</v>
      </c>
      <c r="C314" s="36">
        <f t="shared" si="54"/>
        <v>120</v>
      </c>
      <c r="D314" s="37">
        <f>IF(C314&lt;=0,0,IF((Coefficients!$C$2+Coefficients!$C$4*C314+Coefficients!$C$6*C314^2+Coefficients!$C$8*C314^3+Coefficients!$C$10*C314^4)/(1+Coefficients!$C$3*C314+Coefficients!$C$5*C314^2+Coefficients!$C$7*C314^3+Coefficients!$C$9*C314^4+Coefficients!$C$11*C314^5)&gt;=100,100,(Coefficients!$C$2+Coefficients!$C$4*C314+Coefficients!$C$6*C314^2+Coefficients!$C$8*C314^3+Coefficients!$C$10*C314^4)/(1+Coefficients!$C$3*C314+Coefficients!$C$5*C314^2+Coefficients!$C$7*C314^3+Coefficients!$C$9*C314^4+Coefficients!$C$11*C314^5)))</f>
        <v>100</v>
      </c>
      <c r="E314" s="78">
        <f t="shared" si="55"/>
        <v>0</v>
      </c>
      <c r="F314" s="39">
        <f t="shared" si="56"/>
        <v>0</v>
      </c>
      <c r="G314" s="75">
        <f t="shared" si="57"/>
        <v>100</v>
      </c>
    </row>
    <row r="315" spans="1:7" ht="14.25" x14ac:dyDescent="0.2">
      <c r="A315" s="29">
        <f t="shared" si="48"/>
        <v>46260</v>
      </c>
      <c r="B315" s="35">
        <f t="shared" si="53"/>
        <v>52.829568788501028</v>
      </c>
      <c r="C315" s="36">
        <f t="shared" si="54"/>
        <v>120</v>
      </c>
      <c r="D315" s="37">
        <f>IF(C315&lt;=0,0,IF((Coefficients!$C$2+Coefficients!$C$4*C315+Coefficients!$C$6*C315^2+Coefficients!$C$8*C315^3+Coefficients!$C$10*C315^4)/(1+Coefficients!$C$3*C315+Coefficients!$C$5*C315^2+Coefficients!$C$7*C315^3+Coefficients!$C$9*C315^4+Coefficients!$C$11*C315^5)&gt;=100,100,(Coefficients!$C$2+Coefficients!$C$4*C315+Coefficients!$C$6*C315^2+Coefficients!$C$8*C315^3+Coefficients!$C$10*C315^4)/(1+Coefficients!$C$3*C315+Coefficients!$C$5*C315^2+Coefficients!$C$7*C315^3+Coefficients!$C$9*C315^4+Coefficients!$C$11*C315^5)))</f>
        <v>100</v>
      </c>
      <c r="E315" s="78">
        <f t="shared" si="55"/>
        <v>0</v>
      </c>
      <c r="F315" s="39">
        <f t="shared" si="56"/>
        <v>0</v>
      </c>
      <c r="G315" s="75">
        <f t="shared" si="57"/>
        <v>100</v>
      </c>
    </row>
    <row r="316" spans="1:7" ht="14.25" x14ac:dyDescent="0.2">
      <c r="A316" s="29">
        <f t="shared" si="48"/>
        <v>46260</v>
      </c>
      <c r="B316" s="35">
        <f t="shared" si="53"/>
        <v>52.829568788501028</v>
      </c>
      <c r="C316" s="36">
        <f t="shared" si="54"/>
        <v>120</v>
      </c>
      <c r="D316" s="37">
        <f>IF(C316&lt;=0,0,IF((Coefficients!$C$2+Coefficients!$C$4*C316+Coefficients!$C$6*C316^2+Coefficients!$C$8*C316^3+Coefficients!$C$10*C316^4)/(1+Coefficients!$C$3*C316+Coefficients!$C$5*C316^2+Coefficients!$C$7*C316^3+Coefficients!$C$9*C316^4+Coefficients!$C$11*C316^5)&gt;=100,100,(Coefficients!$C$2+Coefficients!$C$4*C316+Coefficients!$C$6*C316^2+Coefficients!$C$8*C316^3+Coefficients!$C$10*C316^4)/(1+Coefficients!$C$3*C316+Coefficients!$C$5*C316^2+Coefficients!$C$7*C316^3+Coefficients!$C$9*C316^4+Coefficients!$C$11*C316^5)))</f>
        <v>100</v>
      </c>
      <c r="E316" s="78">
        <f t="shared" si="55"/>
        <v>0</v>
      </c>
      <c r="F316" s="39">
        <f t="shared" si="56"/>
        <v>0</v>
      </c>
      <c r="G316" s="75">
        <f t="shared" si="57"/>
        <v>100</v>
      </c>
    </row>
    <row r="317" spans="1:7" ht="14.25" x14ac:dyDescent="0.2">
      <c r="A317" s="29">
        <f t="shared" si="48"/>
        <v>46260</v>
      </c>
      <c r="B317" s="35">
        <f t="shared" si="53"/>
        <v>52.829568788501028</v>
      </c>
      <c r="C317" s="36">
        <f t="shared" si="54"/>
        <v>120</v>
      </c>
      <c r="D317" s="37">
        <f>IF(C317&lt;=0,0,IF((Coefficients!$C$2+Coefficients!$C$4*C317+Coefficients!$C$6*C317^2+Coefficients!$C$8*C317^3+Coefficients!$C$10*C317^4)/(1+Coefficients!$C$3*C317+Coefficients!$C$5*C317^2+Coefficients!$C$7*C317^3+Coefficients!$C$9*C317^4+Coefficients!$C$11*C317^5)&gt;=100,100,(Coefficients!$C$2+Coefficients!$C$4*C317+Coefficients!$C$6*C317^2+Coefficients!$C$8*C317^3+Coefficients!$C$10*C317^4)/(1+Coefficients!$C$3*C317+Coefficients!$C$5*C317^2+Coefficients!$C$7*C317^3+Coefficients!$C$9*C317^4+Coefficients!$C$11*C317^5)))</f>
        <v>100</v>
      </c>
      <c r="E317" s="78">
        <f t="shared" si="55"/>
        <v>0</v>
      </c>
      <c r="F317" s="39">
        <f t="shared" si="56"/>
        <v>0</v>
      </c>
      <c r="G317" s="75">
        <f t="shared" si="57"/>
        <v>100</v>
      </c>
    </row>
    <row r="318" spans="1:7" ht="14.25" x14ac:dyDescent="0.2">
      <c r="A318" s="29">
        <f t="shared" si="48"/>
        <v>46260</v>
      </c>
      <c r="B318" s="35">
        <f t="shared" si="53"/>
        <v>52.829568788501028</v>
      </c>
      <c r="C318" s="36">
        <f t="shared" si="54"/>
        <v>120</v>
      </c>
      <c r="D318" s="37">
        <f>IF(C318&lt;=0,0,IF((Coefficients!$C$2+Coefficients!$C$4*C318+Coefficients!$C$6*C318^2+Coefficients!$C$8*C318^3+Coefficients!$C$10*C318^4)/(1+Coefficients!$C$3*C318+Coefficients!$C$5*C318^2+Coefficients!$C$7*C318^3+Coefficients!$C$9*C318^4+Coefficients!$C$11*C318^5)&gt;=100,100,(Coefficients!$C$2+Coefficients!$C$4*C318+Coefficients!$C$6*C318^2+Coefficients!$C$8*C318^3+Coefficients!$C$10*C318^4)/(1+Coefficients!$C$3*C318+Coefficients!$C$5*C318^2+Coefficients!$C$7*C318^3+Coefficients!$C$9*C318^4+Coefficients!$C$11*C318^5)))</f>
        <v>100</v>
      </c>
      <c r="E318" s="78">
        <f t="shared" si="55"/>
        <v>0</v>
      </c>
      <c r="F318" s="39">
        <f t="shared" si="56"/>
        <v>0</v>
      </c>
      <c r="G318" s="75">
        <f t="shared" si="57"/>
        <v>100</v>
      </c>
    </row>
    <row r="319" spans="1:7" ht="14.25" x14ac:dyDescent="0.2">
      <c r="A319" s="29">
        <f t="shared" si="48"/>
        <v>46260</v>
      </c>
      <c r="B319" s="35">
        <f t="shared" si="53"/>
        <v>52.829568788501028</v>
      </c>
      <c r="C319" s="36">
        <f t="shared" si="54"/>
        <v>120</v>
      </c>
      <c r="D319" s="37">
        <f>IF(C319&lt;=0,0,IF((Coefficients!$C$2+Coefficients!$C$4*C319+Coefficients!$C$6*C319^2+Coefficients!$C$8*C319^3+Coefficients!$C$10*C319^4)/(1+Coefficients!$C$3*C319+Coefficients!$C$5*C319^2+Coefficients!$C$7*C319^3+Coefficients!$C$9*C319^4+Coefficients!$C$11*C319^5)&gt;=100,100,(Coefficients!$C$2+Coefficients!$C$4*C319+Coefficients!$C$6*C319^2+Coefficients!$C$8*C319^3+Coefficients!$C$10*C319^4)/(1+Coefficients!$C$3*C319+Coefficients!$C$5*C319^2+Coefficients!$C$7*C319^3+Coefficients!$C$9*C319^4+Coefficients!$C$11*C319^5)))</f>
        <v>100</v>
      </c>
      <c r="E319" s="78">
        <f t="shared" si="55"/>
        <v>0</v>
      </c>
      <c r="F319" s="39">
        <f t="shared" si="56"/>
        <v>0</v>
      </c>
      <c r="G319" s="75">
        <f t="shared" si="57"/>
        <v>100</v>
      </c>
    </row>
    <row r="320" spans="1:7" ht="14.25" x14ac:dyDescent="0.2">
      <c r="A320" s="29">
        <f t="shared" si="48"/>
        <v>46260</v>
      </c>
      <c r="B320" s="35">
        <f t="shared" si="53"/>
        <v>52.829568788501028</v>
      </c>
      <c r="C320" s="36">
        <f t="shared" si="54"/>
        <v>120</v>
      </c>
      <c r="D320" s="37">
        <f>IF(C320&lt;=0,0,IF((Coefficients!$C$2+Coefficients!$C$4*C320+Coefficients!$C$6*C320^2+Coefficients!$C$8*C320^3+Coefficients!$C$10*C320^4)/(1+Coefficients!$C$3*C320+Coefficients!$C$5*C320^2+Coefficients!$C$7*C320^3+Coefficients!$C$9*C320^4+Coefficients!$C$11*C320^5)&gt;=100,100,(Coefficients!$C$2+Coefficients!$C$4*C320+Coefficients!$C$6*C320^2+Coefficients!$C$8*C320^3+Coefficients!$C$10*C320^4)/(1+Coefficients!$C$3*C320+Coefficients!$C$5*C320^2+Coefficients!$C$7*C320^3+Coefficients!$C$9*C320^4+Coefficients!$C$11*C320^5)))</f>
        <v>100</v>
      </c>
      <c r="E320" s="78">
        <f t="shared" si="55"/>
        <v>0</v>
      </c>
      <c r="F320" s="39">
        <f t="shared" si="56"/>
        <v>0</v>
      </c>
      <c r="G320" s="75">
        <f t="shared" si="57"/>
        <v>100</v>
      </c>
    </row>
    <row r="321" spans="1:7" ht="14.25" x14ac:dyDescent="0.2">
      <c r="A321" s="29">
        <f t="shared" si="48"/>
        <v>46260</v>
      </c>
      <c r="B321" s="35">
        <f t="shared" si="53"/>
        <v>52.829568788501028</v>
      </c>
      <c r="C321" s="36">
        <f t="shared" si="54"/>
        <v>120</v>
      </c>
      <c r="D321" s="37">
        <f>IF(C321&lt;=0,0,IF((Coefficients!$C$2+Coefficients!$C$4*C321+Coefficients!$C$6*C321^2+Coefficients!$C$8*C321^3+Coefficients!$C$10*C321^4)/(1+Coefficients!$C$3*C321+Coefficients!$C$5*C321^2+Coefficients!$C$7*C321^3+Coefficients!$C$9*C321^4+Coefficients!$C$11*C321^5)&gt;=100,100,(Coefficients!$C$2+Coefficients!$C$4*C321+Coefficients!$C$6*C321^2+Coefficients!$C$8*C321^3+Coefficients!$C$10*C321^4)/(1+Coefficients!$C$3*C321+Coefficients!$C$5*C321^2+Coefficients!$C$7*C321^3+Coefficients!$C$9*C321^4+Coefficients!$C$11*C321^5)))</f>
        <v>100</v>
      </c>
      <c r="E321" s="78">
        <f t="shared" si="55"/>
        <v>0</v>
      </c>
      <c r="F321" s="39">
        <f t="shared" si="56"/>
        <v>0</v>
      </c>
      <c r="G321" s="75">
        <f t="shared" si="57"/>
        <v>100</v>
      </c>
    </row>
    <row r="322" spans="1:7" ht="14.25" x14ac:dyDescent="0.2">
      <c r="A322" s="29">
        <f t="shared" si="48"/>
        <v>46260</v>
      </c>
      <c r="B322" s="35">
        <f t="shared" si="53"/>
        <v>52.829568788501028</v>
      </c>
      <c r="C322" s="36">
        <f t="shared" si="54"/>
        <v>120</v>
      </c>
      <c r="D322" s="37">
        <f>IF(C322&lt;=0,0,IF((Coefficients!$C$2+Coefficients!$C$4*C322+Coefficients!$C$6*C322^2+Coefficients!$C$8*C322^3+Coefficients!$C$10*C322^4)/(1+Coefficients!$C$3*C322+Coefficients!$C$5*C322^2+Coefficients!$C$7*C322^3+Coefficients!$C$9*C322^4+Coefficients!$C$11*C322^5)&gt;=100,100,(Coefficients!$C$2+Coefficients!$C$4*C322+Coefficients!$C$6*C322^2+Coefficients!$C$8*C322^3+Coefficients!$C$10*C322^4)/(1+Coefficients!$C$3*C322+Coefficients!$C$5*C322^2+Coefficients!$C$7*C322^3+Coefficients!$C$9*C322^4+Coefficients!$C$11*C322^5)))</f>
        <v>100</v>
      </c>
      <c r="E322" s="78">
        <f t="shared" si="55"/>
        <v>0</v>
      </c>
      <c r="F322" s="39">
        <f t="shared" si="56"/>
        <v>0</v>
      </c>
      <c r="G322" s="75">
        <f t="shared" si="57"/>
        <v>100</v>
      </c>
    </row>
    <row r="323" spans="1:7" ht="14.25" x14ac:dyDescent="0.2">
      <c r="A323" s="29">
        <f t="shared" si="48"/>
        <v>46260</v>
      </c>
      <c r="B323" s="35">
        <f t="shared" si="53"/>
        <v>52.829568788501028</v>
      </c>
      <c r="C323" s="36">
        <f t="shared" si="54"/>
        <v>120</v>
      </c>
      <c r="D323" s="37">
        <f>IF(C323&lt;=0,0,IF((Coefficients!$C$2+Coefficients!$C$4*C323+Coefficients!$C$6*C323^2+Coefficients!$C$8*C323^3+Coefficients!$C$10*C323^4)/(1+Coefficients!$C$3*C323+Coefficients!$C$5*C323^2+Coefficients!$C$7*C323^3+Coefficients!$C$9*C323^4+Coefficients!$C$11*C323^5)&gt;=100,100,(Coefficients!$C$2+Coefficients!$C$4*C323+Coefficients!$C$6*C323^2+Coefficients!$C$8*C323^3+Coefficients!$C$10*C323^4)/(1+Coefficients!$C$3*C323+Coefficients!$C$5*C323^2+Coefficients!$C$7*C323^3+Coefficients!$C$9*C323^4+Coefficients!$C$11*C323^5)))</f>
        <v>100</v>
      </c>
      <c r="E323" s="78">
        <f t="shared" si="55"/>
        <v>0</v>
      </c>
      <c r="F323" s="39">
        <f t="shared" si="56"/>
        <v>0</v>
      </c>
      <c r="G323" s="75">
        <f t="shared" si="57"/>
        <v>100</v>
      </c>
    </row>
    <row r="324" spans="1:7" ht="14.25" x14ac:dyDescent="0.2">
      <c r="A324" s="29">
        <f t="shared" si="48"/>
        <v>46260</v>
      </c>
      <c r="B324" s="35">
        <f t="shared" si="53"/>
        <v>52.829568788501028</v>
      </c>
      <c r="C324" s="36">
        <f t="shared" si="54"/>
        <v>120</v>
      </c>
      <c r="D324" s="37">
        <f>IF(C324&lt;=0,0,IF((Coefficients!$C$2+Coefficients!$C$4*C324+Coefficients!$C$6*C324^2+Coefficients!$C$8*C324^3+Coefficients!$C$10*C324^4)/(1+Coefficients!$C$3*C324+Coefficients!$C$5*C324^2+Coefficients!$C$7*C324^3+Coefficients!$C$9*C324^4+Coefficients!$C$11*C324^5)&gt;=100,100,(Coefficients!$C$2+Coefficients!$C$4*C324+Coefficients!$C$6*C324^2+Coefficients!$C$8*C324^3+Coefficients!$C$10*C324^4)/(1+Coefficients!$C$3*C324+Coefficients!$C$5*C324^2+Coefficients!$C$7*C324^3+Coefficients!$C$9*C324^4+Coefficients!$C$11*C324^5)))</f>
        <v>100</v>
      </c>
      <c r="E324" s="78">
        <f t="shared" si="55"/>
        <v>0</v>
      </c>
      <c r="F324" s="39">
        <f t="shared" si="56"/>
        <v>0</v>
      </c>
      <c r="G324" s="75">
        <f t="shared" si="57"/>
        <v>100</v>
      </c>
    </row>
    <row r="325" spans="1:7" ht="15" thickBot="1" x14ac:dyDescent="0.25">
      <c r="A325" s="29">
        <f t="shared" si="48"/>
        <v>46260</v>
      </c>
      <c r="B325" s="46">
        <f t="shared" si="53"/>
        <v>52.829568788501028</v>
      </c>
      <c r="C325" s="47">
        <f t="shared" si="54"/>
        <v>120</v>
      </c>
      <c r="D325" s="48">
        <f>IF(C325&lt;=0,0,IF((Coefficients!$C$2+Coefficients!$C$4*C325+Coefficients!$C$6*C325^2+Coefficients!$C$8*C325^3+Coefficients!$C$10*C325^4)/(1+Coefficients!$C$3*C325+Coefficients!$C$5*C325^2+Coefficients!$C$7*C325^3+Coefficients!$C$9*C325^4+Coefficients!$C$11*C325^5)&gt;=100,100,(Coefficients!$C$2+Coefficients!$C$4*C325+Coefficients!$C$6*C325^2+Coefficients!$C$8*C325^3+Coefficients!$C$10*C325^4)/(1+Coefficients!$C$3*C325+Coefficients!$C$5*C325^2+Coefficients!$C$7*C325^3+Coefficients!$C$9*C325^4+Coefficients!$C$11*C325^5)))</f>
        <v>100</v>
      </c>
      <c r="E325" s="79">
        <f t="shared" si="55"/>
        <v>0</v>
      </c>
      <c r="F325" s="49">
        <f t="shared" si="56"/>
        <v>0</v>
      </c>
      <c r="G325" s="76">
        <f t="shared" si="57"/>
        <v>100</v>
      </c>
    </row>
    <row r="326" spans="1:7" ht="13.5" thickTop="1" x14ac:dyDescent="0.15"/>
  </sheetData>
  <mergeCells count="1">
    <mergeCell ref="C3:D3"/>
  </mergeCells>
  <phoneticPr fontId="0" type="noConversion"/>
  <printOptions horizontalCentered="1" verticalCentered="1"/>
  <pageMargins left="0.75" right="0.75" top="1" bottom="1" header="0.5" footer="0.5"/>
  <pageSetup paperSize="9" scale="72" fitToHeight="2" orientation="portrait"/>
  <headerFooter alignWithMargins="0">
    <oddHeader>&amp;C&amp;"Arial,Bold"&amp;18&amp;A</oddHeader>
    <oddFooter>Page &amp;P</oddFooter>
  </headerFooter>
  <colBreaks count="1" manualBreakCount="1">
    <brk id="15" min="2" max="14" man="1"/>
  </colBreak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odule4.Print_Cash_Flow">
                <anchor moveWithCells="1">
                  <from>
                    <xdr:col>7</xdr:col>
                    <xdr:colOff>266700</xdr:colOff>
                    <xdr:row>3</xdr:row>
                    <xdr:rowOff>47625</xdr:rowOff>
                  </from>
                  <to>
                    <xdr:col>8</xdr:col>
                    <xdr:colOff>628650</xdr:colOff>
                    <xdr:row>4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4E25-3BFF-45E2-A3AF-84A891A71959}">
  <sheetPr codeName="Sheet2"/>
  <dimension ref="B1:J12"/>
  <sheetViews>
    <sheetView workbookViewId="0">
      <selection activeCell="F6" sqref="F6"/>
    </sheetView>
  </sheetViews>
  <sheetFormatPr defaultColWidth="10.24609375" defaultRowHeight="13.5" x14ac:dyDescent="0.2"/>
  <cols>
    <col min="1" max="1" width="10.24609375" style="52" customWidth="1"/>
    <col min="2" max="2" width="14.0234375" style="51" customWidth="1"/>
    <col min="3" max="3" width="13.078125" style="51" customWidth="1"/>
    <col min="4" max="10" width="10.24609375" style="51" customWidth="1"/>
    <col min="11" max="16384" width="10.24609375" style="52"/>
  </cols>
  <sheetData>
    <row r="1" spans="2:3" ht="14.25" thickBot="1" x14ac:dyDescent="0.25">
      <c r="B1" s="50" t="s">
        <v>48</v>
      </c>
      <c r="C1" s="50" t="s">
        <v>49</v>
      </c>
    </row>
    <row r="2" spans="2:3" ht="14.25" thickTop="1" x14ac:dyDescent="0.2">
      <c r="B2" s="53" t="s">
        <v>50</v>
      </c>
      <c r="C2" s="54">
        <v>0.70720500750542103</v>
      </c>
    </row>
    <row r="3" spans="2:3" x14ac:dyDescent="0.2">
      <c r="B3" s="55" t="s">
        <v>51</v>
      </c>
      <c r="C3" s="56">
        <v>-6.6736363208436858E-2</v>
      </c>
    </row>
    <row r="4" spans="2:3" x14ac:dyDescent="0.2">
      <c r="B4" s="55" t="s">
        <v>52</v>
      </c>
      <c r="C4" s="56">
        <v>1.0415626159740477E-2</v>
      </c>
    </row>
    <row r="5" spans="2:3" x14ac:dyDescent="0.2">
      <c r="B5" s="55" t="s">
        <v>53</v>
      </c>
      <c r="C5" s="56">
        <v>1.7401887867043184E-3</v>
      </c>
    </row>
    <row r="6" spans="2:3" x14ac:dyDescent="0.2">
      <c r="B6" s="55" t="s">
        <v>54</v>
      </c>
      <c r="C6" s="56">
        <v>-1.2594206251903305E-3</v>
      </c>
    </row>
    <row r="7" spans="2:3" x14ac:dyDescent="0.2">
      <c r="B7" s="55" t="s">
        <v>55</v>
      </c>
      <c r="C7" s="56">
        <v>-2.1963878167979439E-5</v>
      </c>
    </row>
    <row r="8" spans="2:3" x14ac:dyDescent="0.2">
      <c r="B8" s="55" t="s">
        <v>56</v>
      </c>
      <c r="C8" s="56">
        <v>1.1667009389143231E-5</v>
      </c>
    </row>
    <row r="9" spans="2:3" x14ac:dyDescent="0.2">
      <c r="B9" s="55" t="s">
        <v>57</v>
      </c>
      <c r="C9" s="56">
        <v>1.3512010755335349E-7</v>
      </c>
    </row>
    <row r="10" spans="2:3" x14ac:dyDescent="0.2">
      <c r="B10" s="55" t="s">
        <v>58</v>
      </c>
      <c r="C10" s="56">
        <v>1.2164666678318737E-7</v>
      </c>
    </row>
    <row r="11" spans="2:3" ht="14.25" thickBot="1" x14ac:dyDescent="0.25">
      <c r="B11" s="57" t="s">
        <v>59</v>
      </c>
      <c r="C11" s="58">
        <v>-3.1440682844638404E-10</v>
      </c>
    </row>
    <row r="12" spans="2:3" ht="14.25" thickTop="1" x14ac:dyDescent="0.2"/>
  </sheetData>
  <phoneticPr fontId="0" type="noConversion"/>
  <pageMargins left="0.75" right="0.75" top="1" bottom="1" header="0.5" footer="0.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A4C4-07EA-4473-A52B-30B76816069A}">
  <sheetPr codeName="Sheet5"/>
  <dimension ref="B1:H27"/>
  <sheetViews>
    <sheetView workbookViewId="0">
      <selection activeCell="E5" sqref="E5"/>
    </sheetView>
  </sheetViews>
  <sheetFormatPr defaultColWidth="8.8984375" defaultRowHeight="12.75" x14ac:dyDescent="0.15"/>
  <cols>
    <col min="1" max="1" width="8.8984375" customWidth="1"/>
    <col min="2" max="2" width="12.67578125" customWidth="1"/>
    <col min="3" max="3" width="17.93359375" customWidth="1"/>
    <col min="4" max="4" width="16.85546875" hidden="1" customWidth="1"/>
    <col min="5" max="5" width="12.40625" bestFit="1" customWidth="1"/>
  </cols>
  <sheetData>
    <row r="1" spans="2:8" ht="21" thickTop="1" x14ac:dyDescent="0.15">
      <c r="B1" s="59" t="s">
        <v>60</v>
      </c>
      <c r="C1" s="60" t="s">
        <v>61</v>
      </c>
      <c r="D1" s="61" t="s">
        <v>62</v>
      </c>
      <c r="E1" s="62" t="s">
        <v>64</v>
      </c>
    </row>
    <row r="2" spans="2:8" ht="15" x14ac:dyDescent="0.2">
      <c r="B2" s="63"/>
      <c r="C2" s="64"/>
      <c r="D2" s="65"/>
      <c r="E2" s="66"/>
    </row>
    <row r="3" spans="2:8" ht="15" x14ac:dyDescent="0.2">
      <c r="B3" s="63">
        <v>0</v>
      </c>
      <c r="C3" s="64">
        <v>0</v>
      </c>
      <c r="D3" s="65">
        <v>0</v>
      </c>
      <c r="E3" s="37">
        <v>0</v>
      </c>
      <c r="H3">
        <f>C3</f>
        <v>0</v>
      </c>
    </row>
    <row r="4" spans="2:8" ht="15" x14ac:dyDescent="0.2">
      <c r="B4" s="67">
        <v>10</v>
      </c>
      <c r="C4" s="68">
        <v>1.4368038944899353</v>
      </c>
      <c r="D4" s="69">
        <v>1.5</v>
      </c>
      <c r="E4" s="37">
        <v>1.2413816459522242</v>
      </c>
      <c r="H4" s="74">
        <f>C4-C3</f>
        <v>1.4368038944899353</v>
      </c>
    </row>
    <row r="5" spans="2:8" ht="15" x14ac:dyDescent="0.2">
      <c r="B5" s="67">
        <v>15</v>
      </c>
      <c r="C5" s="68">
        <v>1.9370314061883989</v>
      </c>
      <c r="D5" s="69">
        <v>2</v>
      </c>
      <c r="E5" s="37">
        <v>1.987171752490861</v>
      </c>
      <c r="H5" s="74">
        <f t="shared" ref="H5:H26" si="0">C5-C4</f>
        <v>0.50022751169846358</v>
      </c>
    </row>
    <row r="6" spans="2:8" ht="15" x14ac:dyDescent="0.2">
      <c r="B6" s="67">
        <v>20</v>
      </c>
      <c r="C6" s="68">
        <v>2.5432628187818356</v>
      </c>
      <c r="D6" s="69">
        <v>2.5</v>
      </c>
      <c r="E6" s="37">
        <v>2.9868065645625341</v>
      </c>
      <c r="H6" s="74">
        <f t="shared" si="0"/>
        <v>0.60623141259343671</v>
      </c>
    </row>
    <row r="7" spans="2:8" ht="15" x14ac:dyDescent="0.2">
      <c r="B7" s="67">
        <v>25</v>
      </c>
      <c r="C7" s="68">
        <v>3.2630177829480869</v>
      </c>
      <c r="D7" s="69">
        <v>3</v>
      </c>
      <c r="E7" s="37">
        <v>4.2866877746272305</v>
      </c>
      <c r="H7" s="74">
        <f t="shared" si="0"/>
        <v>0.71975496416625129</v>
      </c>
    </row>
    <row r="8" spans="2:8" ht="15" x14ac:dyDescent="0.2">
      <c r="B8" s="67">
        <v>30</v>
      </c>
      <c r="C8" s="68">
        <v>4.1138087085984987</v>
      </c>
      <c r="D8" s="69">
        <v>4.0999999999999996</v>
      </c>
      <c r="E8" s="37">
        <v>6.5436162172042094</v>
      </c>
      <c r="H8" s="74">
        <f t="shared" si="0"/>
        <v>0.85079092565041181</v>
      </c>
    </row>
    <row r="9" spans="2:8" ht="15" x14ac:dyDescent="0.2">
      <c r="B9" s="67">
        <v>35</v>
      </c>
      <c r="C9" s="68">
        <v>5.2268024974970775</v>
      </c>
      <c r="D9" s="69">
        <v>5</v>
      </c>
      <c r="E9" s="37">
        <v>14.244537828052684</v>
      </c>
      <c r="H9" s="74">
        <f t="shared" si="0"/>
        <v>1.1129937888985788</v>
      </c>
    </row>
    <row r="10" spans="2:8" ht="15" x14ac:dyDescent="0.2">
      <c r="B10" s="67">
        <v>40</v>
      </c>
      <c r="C10" s="68">
        <v>7.2955775674692633</v>
      </c>
      <c r="D10" s="69">
        <v>8</v>
      </c>
      <c r="E10" s="37">
        <v>28.245514803772554</v>
      </c>
      <c r="H10" s="74">
        <f t="shared" si="0"/>
        <v>2.0687750699721859</v>
      </c>
    </row>
    <row r="11" spans="2:8" ht="15" x14ac:dyDescent="0.2">
      <c r="B11" s="67">
        <v>45</v>
      </c>
      <c r="C11" s="68">
        <v>12.221178300747875</v>
      </c>
      <c r="D11" s="69">
        <v>13</v>
      </c>
      <c r="E11" s="37">
        <v>42.260820277691259</v>
      </c>
      <c r="H11" s="74">
        <f t="shared" si="0"/>
        <v>4.9256007332786114</v>
      </c>
    </row>
    <row r="12" spans="2:8" ht="15" x14ac:dyDescent="0.2">
      <c r="B12" s="67">
        <v>50</v>
      </c>
      <c r="C12" s="68">
        <v>20.67633573958577</v>
      </c>
      <c r="D12" s="69">
        <v>21</v>
      </c>
      <c r="E12" s="37">
        <v>57.261491376047104</v>
      </c>
      <c r="H12" s="74">
        <f t="shared" si="0"/>
        <v>8.4551574388378956</v>
      </c>
    </row>
    <row r="13" spans="2:8" ht="15" x14ac:dyDescent="0.2">
      <c r="B13" s="67">
        <v>55</v>
      </c>
      <c r="C13" s="68">
        <v>29.92645466257553</v>
      </c>
      <c r="D13" s="69">
        <v>30</v>
      </c>
      <c r="E13" s="37">
        <v>72.663120487861192</v>
      </c>
      <c r="H13" s="74">
        <f t="shared" si="0"/>
        <v>9.2501189229897598</v>
      </c>
    </row>
    <row r="14" spans="2:8" ht="15" x14ac:dyDescent="0.2">
      <c r="B14" s="67">
        <v>60</v>
      </c>
      <c r="C14" s="68">
        <v>38.950255849477699</v>
      </c>
      <c r="D14" s="69">
        <v>39</v>
      </c>
      <c r="E14" s="37">
        <v>85.775075619039711</v>
      </c>
      <c r="H14" s="74">
        <f t="shared" si="0"/>
        <v>9.023801186902169</v>
      </c>
    </row>
    <row r="15" spans="2:8" ht="15" x14ac:dyDescent="0.2">
      <c r="B15" s="67">
        <v>65</v>
      </c>
      <c r="C15" s="68">
        <v>48.312157610384659</v>
      </c>
      <c r="D15" s="69">
        <v>48</v>
      </c>
      <c r="E15" s="37">
        <v>94.32890827722629</v>
      </c>
      <c r="H15" s="74">
        <f t="shared" si="0"/>
        <v>9.3619017609069601</v>
      </c>
    </row>
    <row r="16" spans="2:8" ht="15" x14ac:dyDescent="0.2">
      <c r="B16" s="67">
        <v>70</v>
      </c>
      <c r="C16" s="68">
        <v>58.213921349920177</v>
      </c>
      <c r="D16" s="69">
        <v>57.9</v>
      </c>
      <c r="E16" s="37">
        <v>98.268763302196831</v>
      </c>
      <c r="H16" s="74">
        <f t="shared" si="0"/>
        <v>9.901763739535518</v>
      </c>
    </row>
    <row r="17" spans="2:8" ht="15" x14ac:dyDescent="0.2">
      <c r="B17" s="67">
        <v>75</v>
      </c>
      <c r="C17" s="68">
        <v>68.273463667797785</v>
      </c>
      <c r="D17" s="69">
        <v>68</v>
      </c>
      <c r="E17" s="37">
        <v>99.328781273928982</v>
      </c>
      <c r="H17" s="74">
        <f t="shared" si="0"/>
        <v>10.059542317877607</v>
      </c>
    </row>
    <row r="18" spans="2:8" ht="15" x14ac:dyDescent="0.2">
      <c r="B18" s="67">
        <v>80</v>
      </c>
      <c r="C18" s="68">
        <v>77.741694256325502</v>
      </c>
      <c r="D18" s="69">
        <v>78</v>
      </c>
      <c r="E18" s="37">
        <v>99.620539333806619</v>
      </c>
      <c r="H18" s="74">
        <f t="shared" si="0"/>
        <v>9.4682305885277174</v>
      </c>
    </row>
    <row r="19" spans="2:8" ht="15" x14ac:dyDescent="0.2">
      <c r="B19" s="67">
        <v>85</v>
      </c>
      <c r="C19" s="68">
        <v>85.806823137131786</v>
      </c>
      <c r="D19" s="69">
        <v>86</v>
      </c>
      <c r="E19" s="37">
        <v>100</v>
      </c>
      <c r="H19" s="74">
        <f t="shared" si="0"/>
        <v>8.0651288808062844</v>
      </c>
    </row>
    <row r="20" spans="2:8" ht="15" x14ac:dyDescent="0.2">
      <c r="B20" s="67">
        <v>90</v>
      </c>
      <c r="C20" s="68">
        <v>91.909061050955472</v>
      </c>
      <c r="D20" s="69">
        <v>92</v>
      </c>
      <c r="E20" s="37">
        <v>100</v>
      </c>
      <c r="H20" s="74">
        <f t="shared" si="0"/>
        <v>6.1022379138236857</v>
      </c>
    </row>
    <row r="21" spans="2:8" ht="15" x14ac:dyDescent="0.2">
      <c r="B21" s="67">
        <v>95</v>
      </c>
      <c r="C21" s="68">
        <v>95.925513422674143</v>
      </c>
      <c r="D21" s="69">
        <v>96</v>
      </c>
      <c r="E21" s="37">
        <v>100</v>
      </c>
      <c r="H21" s="74">
        <f t="shared" si="0"/>
        <v>4.0164523717186711</v>
      </c>
    </row>
    <row r="22" spans="2:8" ht="15" x14ac:dyDescent="0.2">
      <c r="B22" s="67">
        <v>100</v>
      </c>
      <c r="C22" s="68">
        <v>98.145743901405851</v>
      </c>
      <c r="D22" s="69">
        <v>98</v>
      </c>
      <c r="E22" s="37">
        <v>100</v>
      </c>
      <c r="H22" s="74">
        <f t="shared" si="0"/>
        <v>2.2202304787317075</v>
      </c>
    </row>
    <row r="23" spans="2:8" ht="15" x14ac:dyDescent="0.2">
      <c r="B23" s="67">
        <v>105</v>
      </c>
      <c r="C23" s="68">
        <v>99.103567952966216</v>
      </c>
      <c r="D23" s="69">
        <v>99</v>
      </c>
      <c r="E23">
        <v>100</v>
      </c>
      <c r="H23" s="74">
        <f t="shared" si="0"/>
        <v>0.95782405156036532</v>
      </c>
    </row>
    <row r="24" spans="2:8" ht="15" x14ac:dyDescent="0.2">
      <c r="B24" s="67">
        <v>110</v>
      </c>
      <c r="C24" s="68">
        <v>99.395281889471363</v>
      </c>
      <c r="D24" s="69">
        <v>99.3</v>
      </c>
      <c r="E24">
        <v>100</v>
      </c>
      <c r="H24" s="74">
        <f t="shared" si="0"/>
        <v>0.29171393650514688</v>
      </c>
    </row>
    <row r="25" spans="2:8" ht="15" x14ac:dyDescent="0.2">
      <c r="B25" s="67">
        <v>115</v>
      </c>
      <c r="C25" s="68">
        <v>99.56693353211304</v>
      </c>
      <c r="D25" s="65">
        <v>99.8</v>
      </c>
      <c r="E25">
        <v>100</v>
      </c>
      <c r="H25" s="74">
        <f t="shared" si="0"/>
        <v>0.17165164264167743</v>
      </c>
    </row>
    <row r="26" spans="2:8" ht="15.75" thickBot="1" x14ac:dyDescent="0.25">
      <c r="B26" s="70">
        <v>120</v>
      </c>
      <c r="C26" s="71">
        <v>100</v>
      </c>
      <c r="D26" s="72">
        <v>100</v>
      </c>
      <c r="E26" s="73">
        <v>100</v>
      </c>
      <c r="H26" s="74">
        <f t="shared" si="0"/>
        <v>0.43306646788695957</v>
      </c>
    </row>
    <row r="27" spans="2:8" ht="13.5" thickTop="1" x14ac:dyDescent="0.15"/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B0FC-520B-46AF-A982-31AD9AA080CE}">
  <dimension ref="A1:B2"/>
  <sheetViews>
    <sheetView workbookViewId="0">
      <selection activeCell="A2" sqref="A2"/>
    </sheetView>
  </sheetViews>
  <sheetFormatPr defaultColWidth="8.8984375" defaultRowHeight="12.75" x14ac:dyDescent="0.15"/>
  <cols>
    <col min="1" max="1" width="14.0234375" bestFit="1" customWidth="1"/>
  </cols>
  <sheetData>
    <row r="1" spans="1:2" x14ac:dyDescent="0.15">
      <c r="A1" s="80">
        <v>12600000</v>
      </c>
      <c r="B1">
        <v>4000</v>
      </c>
    </row>
    <row r="2" spans="1:2" x14ac:dyDescent="0.15">
      <c r="A2" s="81">
        <f>B1/A1</f>
        <v>3.1746031746031746E-4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Cash flow</vt:lpstr>
      <vt:lpstr>Coefficients</vt:lpstr>
      <vt:lpstr>REAL DATA vs ACTUAL DATA</vt:lpstr>
      <vt:lpstr>Sheet1</vt:lpstr>
      <vt:lpstr>GRAPH OF CAPTAL SCHEDULING</vt:lpstr>
      <vt:lpstr>CHART OF REAL vs ACTUAL DATA</vt:lpstr>
      <vt:lpstr>Cash flow!Print_Area</vt:lpstr>
      <vt:lpstr>Cash flow!Print_Titles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</dc:creator>
  <cp:lastModifiedBy>X</cp:lastModifiedBy>
  <dcterms:created xsi:type="dcterms:W3CDTF">2005-03-21T19:01:46Z</dcterms:created>
  <dcterms:modified xsi:type="dcterms:W3CDTF">2026-04-30T03:55:53Z</dcterms:modified>
</cp:coreProperties>
</file>